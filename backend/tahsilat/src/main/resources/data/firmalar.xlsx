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2056" windowHeight="9288"/>
  </bookViews>
  <sheets>
    <sheet name="Sayfa1" sheetId="1" r:id="rId1"/>
    <sheet name="Sayfa2" sheetId="2" r:id="rId2"/>
    <sheet name="Sayfa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C215" i="1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</calcChain>
</file>

<file path=xl/sharedStrings.xml><?xml version="1.0" encoding="utf-8"?>
<sst xmlns="http://schemas.openxmlformats.org/spreadsheetml/2006/main" count="430" uniqueCount="428">
  <si>
    <t>Cari Kodu</t>
  </si>
  <si>
    <t>120-07-01-002</t>
  </si>
  <si>
    <t>A.D. OTOMOTİV - AHMET DAĞLI .</t>
  </si>
  <si>
    <t>120-32-01-011</t>
  </si>
  <si>
    <t>AYAR OTO - HÜSEYİN AYDEMİR .</t>
  </si>
  <si>
    <t>120-03-01-013</t>
  </si>
  <si>
    <t>BAYAR OTOMOTİV VE DOĞRAMA SAN.TİC.VE LTD ŞTİ. .</t>
  </si>
  <si>
    <t>01 42 020</t>
  </si>
  <si>
    <t>BERBEROGLU OTO AKSESUAR VE YED.PARÇA</t>
  </si>
  <si>
    <t>01 32 076</t>
  </si>
  <si>
    <t>BOZKURT OTO  YASİN BOZKURT      .</t>
  </si>
  <si>
    <t>01 03 042</t>
  </si>
  <si>
    <t xml:space="preserve">DEMIRPENÇE TIC._ A. DEMIRPENÇE </t>
  </si>
  <si>
    <t xml:space="preserve">01 03 042 </t>
  </si>
  <si>
    <t>DEMİRPENÇE TİC._ A. DEMİRPENÇE</t>
  </si>
  <si>
    <t>01 03 055</t>
  </si>
  <si>
    <t>DENİZ OTOMOTİV SERKAN KARADENİZ</t>
  </si>
  <si>
    <t>120-32-01-010</t>
  </si>
  <si>
    <t>ELİT MOBİLYA - GÜRAL PALA .</t>
  </si>
  <si>
    <t>01 32 010</t>
  </si>
  <si>
    <t>GÖKER OTOMOTIV TEKS.INS.TÜKETIM MAD.SAN.TIC.LTD.ST</t>
  </si>
  <si>
    <t>120-32-02-001</t>
  </si>
  <si>
    <t>GÖRGÜLÜ MAKİNA / OSMAN GÖRGÜLÜ</t>
  </si>
  <si>
    <t>01 15 001</t>
  </si>
  <si>
    <t xml:space="preserve">ILGIN OTO - HAMDI ILGIN </t>
  </si>
  <si>
    <t>01 32 035</t>
  </si>
  <si>
    <t xml:space="preserve">OTO ONBIRLI-ALI RIZA KARAKOYUN </t>
  </si>
  <si>
    <t>01 03 009</t>
  </si>
  <si>
    <t xml:space="preserve">OTO TEKNIK - SELIM SIMSEK </t>
  </si>
  <si>
    <t xml:space="preserve">01 03 009 </t>
  </si>
  <si>
    <t>OTO TEKNİK - SELİM ŞİMŞEK</t>
  </si>
  <si>
    <t>01 42 018</t>
  </si>
  <si>
    <t>OTO ÜMMET-SELMA HARMANKAYA</t>
  </si>
  <si>
    <t xml:space="preserve">01 03 048 </t>
  </si>
  <si>
    <t>ÖLMEZ OTO KAPORTA BOYA-İSMAİL ÖLMEZ</t>
  </si>
  <si>
    <t>120-07-01-004</t>
  </si>
  <si>
    <t>ÖZKAN OTO YEDEK PARÇA - HASAN ÖZKAN .</t>
  </si>
  <si>
    <t>01 07 447</t>
  </si>
  <si>
    <t>SEÇ OTOMOTİV SAN VE TİÇ LTD ŞTİ</t>
  </si>
  <si>
    <t>01 42 023</t>
  </si>
  <si>
    <t>ŞAHİN OTO FERHAT ŞAHİN .</t>
  </si>
  <si>
    <t>01 03 025</t>
  </si>
  <si>
    <t xml:space="preserve">TASDEMIR OTO HÜSEYIN TASDEMIR </t>
  </si>
  <si>
    <t xml:space="preserve">01 03 025 </t>
  </si>
  <si>
    <t>TAŞDEMİR OTO HÜSEYİN TAŞDEMİR</t>
  </si>
  <si>
    <t>120-03-01-006</t>
  </si>
  <si>
    <t>TEKNİK MOTOR YENİLEME - KORAY KORKMAZ</t>
  </si>
  <si>
    <t>01 32 020</t>
  </si>
  <si>
    <t xml:space="preserve">ADNAN KARCI OTOMOTIV </t>
  </si>
  <si>
    <t>01 32 022</t>
  </si>
  <si>
    <t xml:space="preserve">AK OTOMOTIV _ ADEM AKYÜREK </t>
  </si>
  <si>
    <t>01 32 063</t>
  </si>
  <si>
    <t>AKAY OTO YEDEK PARÇATİC.LTD.ŞTİ. .</t>
  </si>
  <si>
    <t>01 07 207</t>
  </si>
  <si>
    <t xml:space="preserve">AKDENIZ CAN KAR OTO BAKIM SERVISI </t>
  </si>
  <si>
    <t>01 07 302</t>
  </si>
  <si>
    <t xml:space="preserve">AKDENIZ OTO - MEHMET AKDENIZ </t>
  </si>
  <si>
    <t>01 42 025</t>
  </si>
  <si>
    <t>AKGÜLLER TİCARET NEJDET AKGÜL</t>
  </si>
  <si>
    <t>01 42 017</t>
  </si>
  <si>
    <t>AKINLAR TICARET- ERAY KOCAAKU</t>
  </si>
  <si>
    <t>26048189200</t>
  </si>
  <si>
    <t>AKRULSAN TİCARET AHMET  AYHAN ŞEN</t>
  </si>
  <si>
    <t>01 32 039</t>
  </si>
  <si>
    <t xml:space="preserve">AKSU OTO TAMIR-YEDEK PARÇA </t>
  </si>
  <si>
    <t>01 07 253</t>
  </si>
  <si>
    <t>ALI TUZCUOGLU OTOMOTIV YEDEK PARÇ.INS.</t>
  </si>
  <si>
    <t>01 20 980</t>
  </si>
  <si>
    <t>ALIOGLU OTOMOTIV OTO TRAKTÖR YED.PAR.</t>
  </si>
  <si>
    <t>01 42 013</t>
  </si>
  <si>
    <t>ALTUNTAS TICARET-MUSTAFA DAGLI</t>
  </si>
  <si>
    <t>120-32-02-002</t>
  </si>
  <si>
    <t>ARAB OTO GARAGE - MEHMET ERSOY .</t>
  </si>
  <si>
    <t>01 03 054</t>
  </si>
  <si>
    <t>ARAPOGLU TIC.RAMAZAN TAYSI</t>
  </si>
  <si>
    <t>01 15 221</t>
  </si>
  <si>
    <t xml:space="preserve">ASYA OTOMOTIV _ ZEYNEP AKALIN </t>
  </si>
  <si>
    <t>01 07 428</t>
  </si>
  <si>
    <t>ATAK OTO-AHMET KURT</t>
  </si>
  <si>
    <t>01 07 433</t>
  </si>
  <si>
    <t>ATESLER SAN VE TIC.LTD.STI</t>
  </si>
  <si>
    <t>01 32 072</t>
  </si>
  <si>
    <t>ATLAS OTO OSMAN NURİ SİNİCİ</t>
  </si>
  <si>
    <t>01 03 064</t>
  </si>
  <si>
    <t>AVCI OTOTAMİRCİSİ MUTLU AVCI .</t>
  </si>
  <si>
    <t>01 15 321</t>
  </si>
  <si>
    <t>AVCIOGLU YEDEK PARÇA MAD.INS.**KARAMANLI**</t>
  </si>
  <si>
    <t>01 32 058</t>
  </si>
  <si>
    <t>AYGEN NAKLİYAT OTOM.GIDA TİC.SAN.LTD.ŞTİ</t>
  </si>
  <si>
    <t>01 07 157</t>
  </si>
  <si>
    <t xml:space="preserve">BALIKTAY TICARET-METIN BALIKTA </t>
  </si>
  <si>
    <t>01 07 416</t>
  </si>
  <si>
    <t>BARAN OTO YEDEK PARÇA</t>
  </si>
  <si>
    <t>120-03-01-011</t>
  </si>
  <si>
    <t>BARIŞ TRAKTÖR - BARIŞ KARAKURT .</t>
  </si>
  <si>
    <t>01 15 012</t>
  </si>
  <si>
    <t>BASAR TICARET SEREF BASAR</t>
  </si>
  <si>
    <t>01 03 060</t>
  </si>
  <si>
    <t>BAŞ OTO ELEKTRİK NAKLİYE GIDA TARIM HAYVİTH.İHR.SAN.LTD.ŞTİ</t>
  </si>
  <si>
    <t>01 07 425</t>
  </si>
  <si>
    <t>BAYINDIR OTO-AHMET BAYINDIR</t>
  </si>
  <si>
    <t>01 07 422</t>
  </si>
  <si>
    <t>BAYRAM OTO-BAYRAM ÇELIK***ANTALYA**</t>
  </si>
  <si>
    <t>01 15 013</t>
  </si>
  <si>
    <t>BILGIN TICARET SEZAI GÜNGÖR</t>
  </si>
  <si>
    <t>01 07 042</t>
  </si>
  <si>
    <t xml:space="preserve">BIZIM OTO - SÜLEYMAN YERDENLER </t>
  </si>
  <si>
    <t>01 32 050</t>
  </si>
  <si>
    <t>BUDAK MOTOR YENILEME OTO YED.</t>
  </si>
  <si>
    <t>01 03 058</t>
  </si>
  <si>
    <t>CANAVARLI OTO TAMİR MAHMET ALİ CANAVARLI</t>
  </si>
  <si>
    <t>01 03 061</t>
  </si>
  <si>
    <t>CAVUŞOĞLU TİCARET  EMRE ARSLAN .</t>
  </si>
  <si>
    <t>01 15 326</t>
  </si>
  <si>
    <t>CEYLAN OTO DÖSEME OTO YEDEKPARCA VELİ</t>
  </si>
  <si>
    <t>01 32 061</t>
  </si>
  <si>
    <t>CEYLAN OTO ÖZEL SERVİS-MEVLÜTAKDUT .</t>
  </si>
  <si>
    <t>01 32 032</t>
  </si>
  <si>
    <t xml:space="preserve">CIHANGIR OTO _CIHANGIR ASLAN </t>
  </si>
  <si>
    <t>01 07 432</t>
  </si>
  <si>
    <t>CINGÖZ OTO YEDEK PARÇA</t>
  </si>
  <si>
    <t>01 07 303</t>
  </si>
  <si>
    <t xml:space="preserve">COF TICARET _ HÜSEYIN COF </t>
  </si>
  <si>
    <t>01 03 035</t>
  </si>
  <si>
    <t xml:space="preserve">ÇAGRI OTO _ UGUR ASLAN </t>
  </si>
  <si>
    <t xml:space="preserve">01 03 035 </t>
  </si>
  <si>
    <t>ÇAĞRI OTO _ UĞUR ASLAN</t>
  </si>
  <si>
    <t>01 03 056</t>
  </si>
  <si>
    <t>ÇAVUŞOĞLU TİCARET-ŞÜKRÜ ARSLAN OTO YED.PARÇA</t>
  </si>
  <si>
    <t>01 03 039</t>
  </si>
  <si>
    <t xml:space="preserve">ÇEKIÇLER OTO TAMIRI _ KEMAL ÇEKIÇ </t>
  </si>
  <si>
    <t xml:space="preserve">01 03 039 </t>
  </si>
  <si>
    <t>ÇEKİÇLER OTO TAMİRİ _ KEMAL ÇEKİÇ</t>
  </si>
  <si>
    <t>01 07 210</t>
  </si>
  <si>
    <t xml:space="preserve">ÇELIK OTO - MUSTAFA ÇELIK </t>
  </si>
  <si>
    <t>01 03 024</t>
  </si>
  <si>
    <t xml:space="preserve">ÇELIK OTO TAMIRHANESI </t>
  </si>
  <si>
    <t>01 32 077</t>
  </si>
  <si>
    <t>ÇINAR OTO PARÇA  CİHAN ÇINAR       .</t>
  </si>
  <si>
    <t>01 03 069</t>
  </si>
  <si>
    <t>DEM-PAR OTO YEDEK PARÇA - MUHİTTİN DEMİRPENÇE .</t>
  </si>
  <si>
    <t>01 07 448</t>
  </si>
  <si>
    <t>DENIZ GEZICI</t>
  </si>
  <si>
    <t>01 03 037</t>
  </si>
  <si>
    <t xml:space="preserve">DENIZ OTO AHMET KARADENIZ </t>
  </si>
  <si>
    <t>120-32-01-004</t>
  </si>
  <si>
    <t>DENİZ OTO - BİRCAN ÜNAL .</t>
  </si>
  <si>
    <t xml:space="preserve">01 03 037 </t>
  </si>
  <si>
    <t>DENİZ OTO AHMET KARADENİZ</t>
  </si>
  <si>
    <t>01 03 012</t>
  </si>
  <si>
    <t xml:space="preserve">DINAR MOTOR YENILEME VE YED PA </t>
  </si>
  <si>
    <t>120-03-01-015</t>
  </si>
  <si>
    <t>DİLEK KARABULUT - KARABULUT YAPI MARKET .</t>
  </si>
  <si>
    <t>120-03-01-008</t>
  </si>
  <si>
    <t>DİNAR MOTOR YENİLEME SAN.TİC.LTD.ŞTİ. .</t>
  </si>
  <si>
    <t xml:space="preserve">01 03 012 </t>
  </si>
  <si>
    <t>DİNAR MOTOR YENİLEME VE YED PA</t>
  </si>
  <si>
    <t>01 32 041</t>
  </si>
  <si>
    <t xml:space="preserve">DOGANAY OTOM.SAN.TIC.LTD.STI. </t>
  </si>
  <si>
    <t>01 07 446</t>
  </si>
  <si>
    <t>DOGMUS OTO KAPORTA VE YEDEKPARCA AHAT DOGMUS</t>
  </si>
  <si>
    <t xml:space="preserve">01 03 041 </t>
  </si>
  <si>
    <t>DOSTLAR OTO - NEJAT BALON</t>
  </si>
  <si>
    <t>01 03 041</t>
  </si>
  <si>
    <t xml:space="preserve">DOSTLAR OTO - NEJAT BALON </t>
  </si>
  <si>
    <t>120-03-01-002</t>
  </si>
  <si>
    <t>DUMAN OTO  ÖMER DUMAN .</t>
  </si>
  <si>
    <t>01 03 028</t>
  </si>
  <si>
    <t xml:space="preserve">EBERLI OTOM _ AYSE YILMAZ </t>
  </si>
  <si>
    <t>01 03 049</t>
  </si>
  <si>
    <t>EGELI AKARYAKIT OTOMOTIV SAN.TIC.LTD.STI.</t>
  </si>
  <si>
    <t>01 03 003</t>
  </si>
  <si>
    <t xml:space="preserve">EMRAL OTO _ SERDAL EMRAL </t>
  </si>
  <si>
    <t>01 07 415</t>
  </si>
  <si>
    <t>ENHOS OTO -SÜKRÜ ENHOS</t>
  </si>
  <si>
    <t>01 07 451</t>
  </si>
  <si>
    <t>ENTEKNIK OTOMOTİV ERKAN ÇİFTÇİ</t>
  </si>
  <si>
    <t>01 15 007</t>
  </si>
  <si>
    <t xml:space="preserve">ERTURGUT TIC._BEKIR ERTURGUT </t>
  </si>
  <si>
    <t>01 32 057</t>
  </si>
  <si>
    <t>EYVAZ OTO YAĞLAMA HÜSEYİN EYVAZ</t>
  </si>
  <si>
    <t>01 20 698</t>
  </si>
  <si>
    <t>FARUK AKKÖSE (NEW HOLLAND SERVISI)</t>
  </si>
  <si>
    <t>120-03-01-014</t>
  </si>
  <si>
    <t>FERHAT KORKMAZ - KORKMAZ OTO .</t>
  </si>
  <si>
    <t>01 42 024</t>
  </si>
  <si>
    <t>FİKRET OTOMOTİV HASAN HARMANKAYA ,</t>
  </si>
  <si>
    <t>01 15 004</t>
  </si>
  <si>
    <t xml:space="preserve">GÖKOGLAN TICARET-RIZA GÖKOGLAN </t>
  </si>
  <si>
    <t>01 15 320</t>
  </si>
  <si>
    <t>GÜNEY OTOMOTIV-TURAN PASA</t>
  </si>
  <si>
    <t>01 03 059</t>
  </si>
  <si>
    <t>GÜREL OTOMOTİV YEDEK PARÇA BİSİKLET VE MOT.ARÇ.PET.ÜRÜN.DAY.TÜK.MAL. SAN.VE TİC.LTD.ŞRT.</t>
  </si>
  <si>
    <t>01 32 056</t>
  </si>
  <si>
    <t>GÜVEN IS-ALI RIZA YAVUZ</t>
  </si>
  <si>
    <t>01 42 014</t>
  </si>
  <si>
    <t xml:space="preserve">HAKAN OTOM.SAN.TIC.LTD.STI. </t>
  </si>
  <si>
    <t xml:space="preserve">01 42 014 </t>
  </si>
  <si>
    <t>HAKAN OTOM.SAN.TİC.LTD.ŞTİ.</t>
  </si>
  <si>
    <t>120-32-03-001</t>
  </si>
  <si>
    <t>HATİCE SAKÇALI</t>
  </si>
  <si>
    <t>01 07 450</t>
  </si>
  <si>
    <t>HUSEYİN OTO YEDEKPARÇA HÜSEYİN DOĞAN</t>
  </si>
  <si>
    <t>01 03 015</t>
  </si>
  <si>
    <t>HUZUR OTO YAG L.IHSAN ÖZAYDIN</t>
  </si>
  <si>
    <t>01 07 424</t>
  </si>
  <si>
    <t>HÜNKAR INS.TAAHHÜT OTO TURIZM</t>
  </si>
  <si>
    <t>120-42-01-002</t>
  </si>
  <si>
    <t>HÜSEYİN OTO RADYATÖR - HÜSEYİN ÖNEM .</t>
  </si>
  <si>
    <t>01 42 006</t>
  </si>
  <si>
    <t>ILHAN OTM.SAN.VE TIC. M.ILHAN</t>
  </si>
  <si>
    <t>01 32 053</t>
  </si>
  <si>
    <t>IRMAK OTOMOTIV YED.PARÇA AKSESUAR</t>
  </si>
  <si>
    <t>120-32-01-002</t>
  </si>
  <si>
    <t>IRMAK OTOMOTİV / ALİ YEŞİLIRMAK .</t>
  </si>
  <si>
    <t>120-32-01-009</t>
  </si>
  <si>
    <t>ISPAR OTOMOTİV SANAYİ VE TİC.LTD.ŞTİ. MUHAMMED BOZTEPE</t>
  </si>
  <si>
    <t>120-03-01-009</t>
  </si>
  <si>
    <t>İKİZLER OTOMOTİV - EMRE KARADENİZ .</t>
  </si>
  <si>
    <t>01 32 001</t>
  </si>
  <si>
    <t>KABULOGLU TICARET MAD.YAG AKÜ VE LASTIK BAYI</t>
  </si>
  <si>
    <t>01 07 152</t>
  </si>
  <si>
    <t xml:space="preserve">KARA TICARET - ALI IHSAN KARA </t>
  </si>
  <si>
    <t>120-03-01-007</t>
  </si>
  <si>
    <t>KARAGÖZ OTOMOTİV  DOĞAN KARAGÖZ   .</t>
  </si>
  <si>
    <t>01 07 434</t>
  </si>
  <si>
    <t>KARAKAYA OTO SERVIS-ESREF KARAKAYA</t>
  </si>
  <si>
    <t>01 07 453</t>
  </si>
  <si>
    <t>KARATOPUK OTOMOTİV TİCARET LİMİTED ŞİRKETİ</t>
  </si>
  <si>
    <t>120-20-01-049</t>
  </si>
  <si>
    <t>KARBAY OTOMOTİV  NUMAN KARAMUKLU   .</t>
  </si>
  <si>
    <t>01 07 443</t>
  </si>
  <si>
    <t>KARDESLER OTO YEDEKPARÇA YUSUF IÇÖZ</t>
  </si>
  <si>
    <t>01 32 028</t>
  </si>
  <si>
    <t xml:space="preserve">KAYABASI OTO _ZÜBEYDE KAYABASI </t>
  </si>
  <si>
    <t>01 32 055</t>
  </si>
  <si>
    <t>KAYABASIOGULLARI OTOMOTIV</t>
  </si>
  <si>
    <t>01 32 048</t>
  </si>
  <si>
    <t>KAYHAN OTO YED.PARÇA-DERYA ÖZGÜL</t>
  </si>
  <si>
    <t>01 20 692</t>
  </si>
  <si>
    <t xml:space="preserve">KESKIN OTOMOTIV YALÇIN KESKIN </t>
  </si>
  <si>
    <t>120-32-02-003</t>
  </si>
  <si>
    <t>KEVSER OTO YEDEK PARÇA - YAŞAR ALTINDEMİR .</t>
  </si>
  <si>
    <t>01 32 062</t>
  </si>
  <si>
    <t>KORKMAZ OTO ELEKTRİK  SÜLEYMAN KORKMAZ</t>
  </si>
  <si>
    <t>01 07 456</t>
  </si>
  <si>
    <t>LİDER FORD ÖZEL SERVİSİ KERİM TAŞ .</t>
  </si>
  <si>
    <t>120-03-01-010</t>
  </si>
  <si>
    <t>LORDOĞLU ELEKTRİK - SÜLEKMAN OK .</t>
  </si>
  <si>
    <t>01 03 053</t>
  </si>
  <si>
    <t>MEHMET EMER</t>
  </si>
  <si>
    <t>01 07 305</t>
  </si>
  <si>
    <t xml:space="preserve">MEMIOGLU OTOMOTIV-EROL MEMIOGLU </t>
  </si>
  <si>
    <t>120-07-01-003</t>
  </si>
  <si>
    <t>MS OTO YEDEK PARÇA - MUHAMMET EMİN SEÇKİN .</t>
  </si>
  <si>
    <t>01 32 002</t>
  </si>
  <si>
    <t>MUTLU OTO TAMIR MEHMET MUTLU</t>
  </si>
  <si>
    <t>01 32 065</t>
  </si>
  <si>
    <t>MÜEZZİNOĞLU AUTO ALIM-SATIM YEDEK PARÇA MUSTAFA ELLİDİRHEM</t>
  </si>
  <si>
    <t>01 15 214</t>
  </si>
  <si>
    <t xml:space="preserve">NUR OTO YED.PARÇA - MEHMET SEMIZ </t>
  </si>
  <si>
    <t>01 07 449</t>
  </si>
  <si>
    <t>ODABAŞIOĞLU OTO YEDEKPARÇA VE TAMİR</t>
  </si>
  <si>
    <t xml:space="preserve">01 03 014 </t>
  </si>
  <si>
    <t>OKAN OTO PARÇA _ OKAN CEYLAN</t>
  </si>
  <si>
    <t>01 32 043</t>
  </si>
  <si>
    <t>OPTIK EGZOS VE OTO YEDEK PARÇA</t>
  </si>
  <si>
    <t>01 03 062</t>
  </si>
  <si>
    <t>OTO AHMET AHMET VURUŞ</t>
  </si>
  <si>
    <t>01 32 051</t>
  </si>
  <si>
    <t>OTO AYHAN  OTOM.YED.PARÇA SAN.</t>
  </si>
  <si>
    <t>01 42 003</t>
  </si>
  <si>
    <t>OTO BILGIN KADIR BILGIN</t>
  </si>
  <si>
    <t>01 07 153</t>
  </si>
  <si>
    <t>OTO BOZ ALI BOZ</t>
  </si>
  <si>
    <t>01 03 023</t>
  </si>
  <si>
    <t xml:space="preserve">OTO CENGIZ _ ABDURRAHMAN OLGUNER </t>
  </si>
  <si>
    <t xml:space="preserve">01 03 023 </t>
  </si>
  <si>
    <t>OTO CENGİZ _ ABDURRAHMAN OLGUNER</t>
  </si>
  <si>
    <t>01 42 019</t>
  </si>
  <si>
    <t>OTO FERHAT-AYSE HARMANKAYA</t>
  </si>
  <si>
    <t>01 32 017</t>
  </si>
  <si>
    <t xml:space="preserve">OTO IHSAN _ IHSAN DEMIRKILINÇ </t>
  </si>
  <si>
    <t>01 07 003</t>
  </si>
  <si>
    <t>OTO KALE _ ERTAN AYDOGAN</t>
  </si>
  <si>
    <t>01 07 452</t>
  </si>
  <si>
    <t>OTO KALE-FUAT AYDOĞAN</t>
  </si>
  <si>
    <t>01 07 431</t>
  </si>
  <si>
    <t>OTO KARDELEN-MEHMET ÇELIK</t>
  </si>
  <si>
    <t>01 07 435</t>
  </si>
  <si>
    <t>OTO KEMAL-KEMAL ÖCAL</t>
  </si>
  <si>
    <t>01 20 951</t>
  </si>
  <si>
    <t>OTO KENAN KENAN ARTAN</t>
  </si>
  <si>
    <t>01 15 220</t>
  </si>
  <si>
    <t xml:space="preserve">OTO ÖZGÜR _ AHMET ALI GÜR </t>
  </si>
  <si>
    <t>01 03 007</t>
  </si>
  <si>
    <t xml:space="preserve">OTO SERDAR OTO YEDEK PARÇA_ NURETTIN BEKI </t>
  </si>
  <si>
    <t>120-03-01-004</t>
  </si>
  <si>
    <t>OTO TURGUT - SÜLEYMAN-FATİH ADİ ORTAKLIĞI .</t>
  </si>
  <si>
    <t>01 03 036</t>
  </si>
  <si>
    <t xml:space="preserve">OTO TURGUT_EMINE DURGUT(SUBE) </t>
  </si>
  <si>
    <t xml:space="preserve">01 03 036 </t>
  </si>
  <si>
    <t>OTO TURGUT_EMİNE DURGUT(ŞUBE)</t>
  </si>
  <si>
    <t>01 32 003</t>
  </si>
  <si>
    <t>OTO UYAR ALI OSMAN KAYNAK</t>
  </si>
  <si>
    <t>01 03 013</t>
  </si>
  <si>
    <t xml:space="preserve">OTO YASAR _ MEHMET ONDUN </t>
  </si>
  <si>
    <t xml:space="preserve">01 03 013 </t>
  </si>
  <si>
    <t>OTO YAŞAR _ MEHMET ONDUN</t>
  </si>
  <si>
    <t>01 07 436</t>
  </si>
  <si>
    <t>OTO YAYLA-MEHMET YAYLA</t>
  </si>
  <si>
    <t>01 07 009</t>
  </si>
  <si>
    <t>OTO YEDEK PARÇA MAD. YAG HASAN DEMIR**MANAVGAT**</t>
  </si>
  <si>
    <t>01 03 052</t>
  </si>
  <si>
    <t>OTO YEDEK PARÇA TIC.AYSE EROGLU**AFYON**</t>
  </si>
  <si>
    <t>01 07 250 SERİK</t>
  </si>
  <si>
    <t xml:space="preserve">OTO YILDIZ - HAKAN YILDIZ </t>
  </si>
  <si>
    <t>01 07 209</t>
  </si>
  <si>
    <t xml:space="preserve">OTO YILMAZ _ SALIH YILMAZ </t>
  </si>
  <si>
    <t>01 07 445</t>
  </si>
  <si>
    <t>OTO YILMAZ YEDEK PARÇA SAN VE TİC.AHMET YILMAZ</t>
  </si>
  <si>
    <t>01 07 427</t>
  </si>
  <si>
    <t>OTO ZAFER - FAZIL FARUK TEMUR**ANTALYA**</t>
  </si>
  <si>
    <t>01 03 067</t>
  </si>
  <si>
    <t>OTOMOBİR OTOMOTİV SANAYİ VE TİCARET LİMİTED ŞİRKETİ</t>
  </si>
  <si>
    <t>01 32 042</t>
  </si>
  <si>
    <t>ÖNEM OTOMOTIV SAN.TIC.LTD.STI</t>
  </si>
  <si>
    <t>01 03 022</t>
  </si>
  <si>
    <t>ÖZCEYLAN OTOMOTIV LTD.STI</t>
  </si>
  <si>
    <t>01 07 440</t>
  </si>
  <si>
    <t>ÖZÇELIK OTOMOTIV-UGUR OKUNAKOL</t>
  </si>
  <si>
    <t>01 32 036</t>
  </si>
  <si>
    <t>ÖZ-EL OTO ALI YESILYURT</t>
  </si>
  <si>
    <t xml:space="preserve">01 32 036 </t>
  </si>
  <si>
    <t>ÖZ-EL OTO ALİ YEŞİLYURT</t>
  </si>
  <si>
    <t>01 32 059</t>
  </si>
  <si>
    <t>ÖZ-ELLER OTO SERVİS SERKAN ÇİFTÇİ HASAN ÇAM</t>
  </si>
  <si>
    <t>01 07 257</t>
  </si>
  <si>
    <t xml:space="preserve">ÖZEN OTO - NAZMI ÖZEN </t>
  </si>
  <si>
    <t>01 07 442</t>
  </si>
  <si>
    <t>ÖZFLAS OTO RECEP DINIPAK</t>
  </si>
  <si>
    <t>01 07 423</t>
  </si>
  <si>
    <t>ÖZGÜR OTO YEDEK PARÇA SAN VE TIC.TUR.INS.PAZ.LTD.S</t>
  </si>
  <si>
    <t>120-32-01-008</t>
  </si>
  <si>
    <t>ÖZ-GÜR OTOMOTİV - EMİNE TUNA .</t>
  </si>
  <si>
    <t>120-32-01-013</t>
  </si>
  <si>
    <t>ÖZ-GÜR OTOMOTİV - HAVVA AS .</t>
  </si>
  <si>
    <t>01 07 455</t>
  </si>
  <si>
    <t>ÖZKAN OTO YEDEK PARÇA YAŞAR ÖZKAN</t>
  </si>
  <si>
    <t>120-32-01-003</t>
  </si>
  <si>
    <t>ÖZTAŞ MADENİZ YAĞ / ŞEYMA NUR ÖZTAŞ .</t>
  </si>
  <si>
    <t>120-03-01-001</t>
  </si>
  <si>
    <t>PARÇACI KADİR / KADİR ŞATIR KADİR ŞATIR</t>
  </si>
  <si>
    <t>01 07 437</t>
  </si>
  <si>
    <t>PISKIN TICARET-ALI PISKIN</t>
  </si>
  <si>
    <t>01 07 211</t>
  </si>
  <si>
    <t>RAMAZAN OTO-RAMAZAN BAKIR</t>
  </si>
  <si>
    <t>01 32 027</t>
  </si>
  <si>
    <t xml:space="preserve">SAKÇALI TIC. SÜLEYMAN SAKÇALI </t>
  </si>
  <si>
    <t>01 42 012</t>
  </si>
  <si>
    <t>SELAMOGULLARI OTOMOTIV SAN.VE TIC.A.S.</t>
  </si>
  <si>
    <t>01 15 322</t>
  </si>
  <si>
    <t>SENEL YEDEK PARÇA SAN.TIC.LTD.STI</t>
  </si>
  <si>
    <t>01 07 201</t>
  </si>
  <si>
    <t>SUHULET OTO YEDEK PARÇA AHMET ATIK - ISMAIL ÖZARSL</t>
  </si>
  <si>
    <t>01 32 073</t>
  </si>
  <si>
    <t>ŞAHAN OTOMOTİV ALİ ŞAHAN</t>
  </si>
  <si>
    <t>01 32 060</t>
  </si>
  <si>
    <t>TALHA ÇELİK OTOMOTİV YEDEK PARÇA SANAYİ VE TİCARET LİMİTED ŞİRKETİ</t>
  </si>
  <si>
    <t>01 42 022</t>
  </si>
  <si>
    <t>TAN TİCARET-EROL TAN</t>
  </si>
  <si>
    <t>01 32 045</t>
  </si>
  <si>
    <t>TAVSANOGLU OTO YIKAMA  NURI DURUTÜRK</t>
  </si>
  <si>
    <t>01 03 065</t>
  </si>
  <si>
    <t>TEKNİK MOTOR YENİLEME BAYRAM YILDIZ .</t>
  </si>
  <si>
    <t>01 32 052</t>
  </si>
  <si>
    <t>TEMIZEL OTO TAMIR VE BAKIM SERVISI</t>
  </si>
  <si>
    <t>01 03 001</t>
  </si>
  <si>
    <t>TOKLAR OTOMOTIV</t>
  </si>
  <si>
    <t>01 03 032</t>
  </si>
  <si>
    <t xml:space="preserve">TOPRAK TICARET_ HÜSEYIN TOPRAK </t>
  </si>
  <si>
    <t xml:space="preserve">01 03 032 </t>
  </si>
  <si>
    <t>TOPRAK TİCARET_ HÜSEYİN TOPRAK</t>
  </si>
  <si>
    <t>01 15 011</t>
  </si>
  <si>
    <t>UFUK TICARET RECEP BESENEK</t>
  </si>
  <si>
    <t>01 03 018</t>
  </si>
  <si>
    <t xml:space="preserve">UMUT TICARET - OSMAN YILMAZ </t>
  </si>
  <si>
    <t>01 32 054</t>
  </si>
  <si>
    <t>UYARLAR OTOMOTIV ZIRAI ÜRÜN.</t>
  </si>
  <si>
    <t>01 07 438</t>
  </si>
  <si>
    <t>UZUNER OTO YED.PARÇA</t>
  </si>
  <si>
    <t>01 07 418</t>
  </si>
  <si>
    <t>ÜLKER OTO RADYATÖR-ERDOGAN ÜLKER</t>
  </si>
  <si>
    <t>01 07 429</t>
  </si>
  <si>
    <t>ÜLKERLER OTO TAM.BAKIM INS.MAL.</t>
  </si>
  <si>
    <t>01 32 064</t>
  </si>
  <si>
    <t>ÜNSAL OTO YIKAMA YEDEK PARÇA CANER BÜYÜKÜNSAL</t>
  </si>
  <si>
    <t>01 07 439</t>
  </si>
  <si>
    <t>VOLKAN OTO</t>
  </si>
  <si>
    <t>120-03-01-005</t>
  </si>
  <si>
    <t>YAKAR TİCARET HÜLYA YAKAR (E-GÜV.)</t>
  </si>
  <si>
    <t>01 15 325</t>
  </si>
  <si>
    <t>YALÇIN DANE</t>
  </si>
  <si>
    <t>120-32-01-014</t>
  </si>
  <si>
    <t>YASİN YURDUSEVEN</t>
  </si>
  <si>
    <t>01 15 323</t>
  </si>
  <si>
    <t>YAVUZ OTO SERVİS MEHMET YAVUZ</t>
  </si>
  <si>
    <t>01 03 043</t>
  </si>
  <si>
    <t xml:space="preserve">YAVUZLAR TICARET-IRFAN YAVUZ </t>
  </si>
  <si>
    <t xml:space="preserve">01 03 043 </t>
  </si>
  <si>
    <t>YAVUZLAR TİCARET-İRFAN YAVUZ</t>
  </si>
  <si>
    <t>120-03-01-003</t>
  </si>
  <si>
    <t>YEŞİL OTO TAMİR - AHMET YEŞİL .</t>
  </si>
  <si>
    <t>01 07 421</t>
  </si>
  <si>
    <t>YILDIZ OTO - METIN YILDIZ</t>
  </si>
  <si>
    <t>01 07 430</t>
  </si>
  <si>
    <t>YILDIZ OTO TOFAS ÖZEL SERVISI RIFAT YILDIZ</t>
  </si>
  <si>
    <t>01 15 327</t>
  </si>
  <si>
    <t>YILDIZ TİCARET  NURHAN YILDIZ</t>
  </si>
  <si>
    <t>01 32 049</t>
  </si>
  <si>
    <t>YÖRÜK OTO-SELDA TOSUN</t>
  </si>
  <si>
    <t>01 32 013</t>
  </si>
  <si>
    <t xml:space="preserve">YÜCEL OTO FREN SRV._ALI ODUNCU </t>
  </si>
  <si>
    <t xml:space="preserve">01 32 013 </t>
  </si>
  <si>
    <t>YÜCEL OTO FREN SRV._ALİ ODUNCU</t>
  </si>
  <si>
    <t>01 07 426</t>
  </si>
  <si>
    <t>ZAMAN OTO-MUAMMER BÜRGE</t>
  </si>
  <si>
    <t>Müsteri Adı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</si>
</sst>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2"/>
      <scheme val="minor"/>
    </font>
    <font>
      <b/>
      <sz val="12"/>
      <name val="Calibri"/>
    </font>
    <font>
      <sz val="8"/>
      <name val="Courier New"/>
      <family val="3"/>
    </font>
    <font>
      <sz val="8"/>
      <color rgb="FF0A0A0A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hsila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por"/>
      <sheetName val="Veri_Girişi"/>
      <sheetName val="Müşteri_Listesi"/>
      <sheetName val="Sayfa3"/>
    </sheetNames>
    <sheetDataSet>
      <sheetData sheetId="0"/>
      <sheetData sheetId="1">
        <row r="6">
          <cell r="E6" t="str">
            <v>FERHAT KORKMAZ - KORKMAZ OTO .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5"/>
  <sheetViews>
    <sheetView tabSelected="1" workbookViewId="0">
      <selection activeCell="F10" sqref="F10"/>
    </sheetView>
  </sheetViews>
  <sheetFormatPr defaultRowHeight="14.4"/>
  <cols>
    <col min="1" max="1" width="14" bestFit="1" customWidth="1"/>
    <col min="2" max="2" width="87.44140625" bestFit="1" customWidth="1"/>
    <col min="3" max="3" width="17.77734375" customWidth="1"/>
  </cols>
  <sheetData>
    <row r="1" spans="1:3" ht="15.6">
      <c r="A1" s="1" t="s">
        <v>0</v>
      </c>
      <c r="B1" s="1" t="s">
        <v>427</v>
      </c>
      <c r="C1" s="1"/>
    </row>
    <row r="2" spans="1:3">
      <c r="A2" t="s">
        <v>1</v>
      </c>
      <c r="B2" t="s">
        <v>2</v>
      </c>
      <c r="C2" s="2" t="str">
        <f>IF(ISNUMBER(SEARCH([1]Veri_Girişi!$E$6,#REF!)),MAKS(#REF!)+1,"")</f>
        <v/>
      </c>
    </row>
    <row r="3" spans="1:3">
      <c r="A3" t="s">
        <v>3</v>
      </c>
      <c r="B3" t="s">
        <v>4</v>
      </c>
      <c r="C3" s="3" t="str">
        <f>IF(ISNUMBER(SEARCH([1]Veri_Girişi!$E$6,A1)),MAKS(#REF!)+1,"")</f>
        <v/>
      </c>
    </row>
    <row r="4" spans="1:3">
      <c r="A4" t="s">
        <v>5</v>
      </c>
      <c r="B4" t="s">
        <v>6</v>
      </c>
      <c r="C4" s="3" t="str">
        <f>IF(ISNUMBER(SEARCH([1]Veri_Girişi!$E$6,A2)),MAKS($B$1:B1)+1,"")</f>
        <v/>
      </c>
    </row>
    <row r="5" spans="1:3">
      <c r="A5" t="s">
        <v>7</v>
      </c>
      <c r="B5" t="s">
        <v>8</v>
      </c>
      <c r="C5" s="3" t="str">
        <f>IF(ISNUMBER(SEARCH([1]Veri_Girişi!$E$6,A3)),MAKS($B$1:B2)+1,"")</f>
        <v/>
      </c>
    </row>
    <row r="6" spans="1:3">
      <c r="A6" t="s">
        <v>9</v>
      </c>
      <c r="B6" t="s">
        <v>10</v>
      </c>
      <c r="C6" s="3" t="str">
        <f>IF(ISNUMBER(SEARCH([1]Veri_Girişi!$E$6,A4)),MAKS($B$1:B3)+1,"")</f>
        <v/>
      </c>
    </row>
    <row r="7" spans="1:3">
      <c r="A7" t="s">
        <v>11</v>
      </c>
      <c r="B7" t="s">
        <v>12</v>
      </c>
      <c r="C7" s="3" t="str">
        <f>IF(ISNUMBER(SEARCH([1]Veri_Girişi!$E$6,A5)),MAKS($B$1:B4)+1,"")</f>
        <v/>
      </c>
    </row>
    <row r="8" spans="1:3">
      <c r="A8" t="s">
        <v>13</v>
      </c>
      <c r="B8" t="s">
        <v>14</v>
      </c>
      <c r="C8" s="3" t="str">
        <f>IF(ISNUMBER(SEARCH([1]Veri_Girişi!$E$6,A6)),MAKS($B$1:B5)+1,"")</f>
        <v/>
      </c>
    </row>
    <row r="9" spans="1:3">
      <c r="A9" t="s">
        <v>15</v>
      </c>
      <c r="B9" t="s">
        <v>16</v>
      </c>
      <c r="C9" s="3" t="str">
        <f>IF(ISNUMBER(SEARCH([1]Veri_Girişi!$E$6,A7)),MAKS($B$1:B6)+1,"")</f>
        <v/>
      </c>
    </row>
    <row r="10" spans="1:3">
      <c r="A10" t="s">
        <v>17</v>
      </c>
      <c r="B10" t="s">
        <v>18</v>
      </c>
      <c r="C10" s="3" t="str">
        <f>IF(ISNUMBER(SEARCH([1]Veri_Girişi!$E$6,A8)),MAKS($B$1:B7)+1,"")</f>
        <v/>
      </c>
    </row>
    <row r="11" spans="1:3">
      <c r="A11" t="s">
        <v>19</v>
      </c>
      <c r="B11" t="s">
        <v>20</v>
      </c>
      <c r="C11" s="3" t="str">
        <f>IF(ISNUMBER(SEARCH([1]Veri_Girişi!$E$6,A9)),MAKS($B$1:B8)+1,"")</f>
        <v/>
      </c>
    </row>
    <row r="12" spans="1:3">
      <c r="A12" t="s">
        <v>21</v>
      </c>
      <c r="B12" t="s">
        <v>22</v>
      </c>
      <c r="C12" s="3" t="str">
        <f>IF(ISNUMBER(SEARCH([1]Veri_Girişi!$E$6,A10)),MAKS($B$1:B9)+1,"")</f>
        <v/>
      </c>
    </row>
    <row r="13" spans="1:3">
      <c r="A13" t="s">
        <v>23</v>
      </c>
      <c r="B13" t="s">
        <v>24</v>
      </c>
      <c r="C13" s="3" t="str">
        <f>IF(ISNUMBER(SEARCH([1]Veri_Girişi!$E$6,A11)),MAKS($B$1:B10)+1,"")</f>
        <v/>
      </c>
    </row>
    <row r="14" spans="1:3">
      <c r="A14" t="s">
        <v>25</v>
      </c>
      <c r="B14" t="s">
        <v>26</v>
      </c>
      <c r="C14" s="3" t="str">
        <f>IF(ISNUMBER(SEARCH([1]Veri_Girişi!$E$6,A12)),MAKS($B$1:B11)+1,"")</f>
        <v/>
      </c>
    </row>
    <row r="15" spans="1:3">
      <c r="A15" t="s">
        <v>27</v>
      </c>
      <c r="B15" t="s">
        <v>28</v>
      </c>
      <c r="C15" s="3" t="str">
        <f>IF(ISNUMBER(SEARCH([1]Veri_Girişi!$E$6,A13)),MAKS($B$1:B12)+1,"")</f>
        <v/>
      </c>
    </row>
    <row r="16" spans="1:3">
      <c r="A16" t="s">
        <v>29</v>
      </c>
      <c r="B16" t="s">
        <v>30</v>
      </c>
      <c r="C16" s="3" t="str">
        <f>IF(ISNUMBER(SEARCH([1]Veri_Girişi!$E$6,A14)),MAKS($B$1:B13)+1,"")</f>
        <v/>
      </c>
    </row>
    <row r="17" spans="1:3">
      <c r="A17" t="s">
        <v>31</v>
      </c>
      <c r="B17" t="s">
        <v>32</v>
      </c>
      <c r="C17" s="3" t="str">
        <f>IF(ISNUMBER(SEARCH([1]Veri_Girişi!$E$6,A15)),MAKS($B$1:B14)+1,"")</f>
        <v/>
      </c>
    </row>
    <row r="18" spans="1:3">
      <c r="A18" t="s">
        <v>33</v>
      </c>
      <c r="B18" t="s">
        <v>34</v>
      </c>
      <c r="C18" s="3" t="str">
        <f>IF(ISNUMBER(SEARCH([1]Veri_Girişi!$E$6,A16)),MAKS($B$1:B15)+1,"")</f>
        <v/>
      </c>
    </row>
    <row r="19" spans="1:3">
      <c r="A19" t="s">
        <v>35</v>
      </c>
      <c r="B19" t="s">
        <v>36</v>
      </c>
      <c r="C19" s="3" t="str">
        <f>IF(ISNUMBER(SEARCH([1]Veri_Girişi!$E$6,A17)),MAKS($B$1:B16)+1,"")</f>
        <v/>
      </c>
    </row>
    <row r="20" spans="1:3">
      <c r="A20" t="s">
        <v>37</v>
      </c>
      <c r="B20" t="s">
        <v>38</v>
      </c>
      <c r="C20" s="3" t="str">
        <f>IF(ISNUMBER(SEARCH([1]Veri_Girişi!$E$6,A18)),MAKS($B$1:B17)+1,"")</f>
        <v/>
      </c>
    </row>
    <row r="21" spans="1:3">
      <c r="A21" t="s">
        <v>39</v>
      </c>
      <c r="B21" t="s">
        <v>40</v>
      </c>
      <c r="C21" s="3" t="str">
        <f>IF(ISNUMBER(SEARCH([1]Veri_Girişi!$E$6,A19)),MAKS($B$1:B18)+1,"")</f>
        <v/>
      </c>
    </row>
    <row r="22" spans="1:3">
      <c r="A22" t="s">
        <v>41</v>
      </c>
      <c r="B22" t="s">
        <v>42</v>
      </c>
      <c r="C22" s="3" t="str">
        <f>IF(ISNUMBER(SEARCH([1]Veri_Girişi!$E$6,A20)),MAKS($B$1:B19)+1,"")</f>
        <v/>
      </c>
    </row>
    <row r="23" spans="1:3">
      <c r="A23" t="s">
        <v>43</v>
      </c>
      <c r="B23" t="s">
        <v>44</v>
      </c>
      <c r="C23" s="3" t="str">
        <f>IF(ISNUMBER(SEARCH([1]Veri_Girişi!$E$6,A21)),MAKS($B$1:B20)+1,"")</f>
        <v/>
      </c>
    </row>
    <row r="24" spans="1:3">
      <c r="A24" t="s">
        <v>45</v>
      </c>
      <c r="B24" t="s">
        <v>46</v>
      </c>
      <c r="C24" s="3" t="str">
        <f>IF(ISNUMBER(SEARCH([1]Veri_Girişi!$E$6,A22)),MAKS($B$1:B21)+1,"")</f>
        <v/>
      </c>
    </row>
    <row r="25" spans="1:3">
      <c r="A25" t="s">
        <v>47</v>
      </c>
      <c r="B25" t="s">
        <v>48</v>
      </c>
      <c r="C25" s="3" t="str">
        <f>IF(ISNUMBER(SEARCH([1]Veri_Girişi!$E$6,A23)),MAKS($B$1:B22)+1,"")</f>
        <v/>
      </c>
    </row>
    <row r="26" spans="1:3">
      <c r="A26" t="s">
        <v>49</v>
      </c>
      <c r="B26" t="s">
        <v>50</v>
      </c>
      <c r="C26" s="3" t="str">
        <f>IF(ISNUMBER(SEARCH([1]Veri_Girişi!$E$6,A24)),MAKS($B$1:B23)+1,"")</f>
        <v/>
      </c>
    </row>
    <row r="27" spans="1:3">
      <c r="A27" t="s">
        <v>51</v>
      </c>
      <c r="B27" t="s">
        <v>52</v>
      </c>
      <c r="C27" s="3" t="str">
        <f>IF(ISNUMBER(SEARCH([1]Veri_Girişi!$E$6,A25)),MAKS($B$1:B24)+1,"")</f>
        <v/>
      </c>
    </row>
    <row r="28" spans="1:3">
      <c r="A28" t="s">
        <v>53</v>
      </c>
      <c r="B28" t="s">
        <v>54</v>
      </c>
      <c r="C28" s="3" t="str">
        <f>IF(ISNUMBER(SEARCH([1]Veri_Girişi!$E$6,A26)),MAKS($B$1:B25)+1,"")</f>
        <v/>
      </c>
    </row>
    <row r="29" spans="1:3">
      <c r="A29" t="s">
        <v>55</v>
      </c>
      <c r="B29" t="s">
        <v>56</v>
      </c>
      <c r="C29" s="3" t="str">
        <f>IF(ISNUMBER(SEARCH([1]Veri_Girişi!$E$6,A27)),MAKS($B$1:B26)+1,"")</f>
        <v/>
      </c>
    </row>
    <row r="30" spans="1:3">
      <c r="A30" t="s">
        <v>57</v>
      </c>
      <c r="B30" t="s">
        <v>58</v>
      </c>
      <c r="C30" s="3" t="str">
        <f>IF(ISNUMBER(SEARCH([1]Veri_Girişi!$E$6,A28)),MAKS($B$1:B27)+1,"")</f>
        <v/>
      </c>
    </row>
    <row r="31" spans="1:3">
      <c r="A31" t="s">
        <v>59</v>
      </c>
      <c r="B31" t="s">
        <v>60</v>
      </c>
      <c r="C31" s="3" t="str">
        <f>IF(ISNUMBER(SEARCH([1]Veri_Girişi!$E$6,A29)),MAKS($B$1:B28)+1,"")</f>
        <v/>
      </c>
    </row>
    <row r="32" spans="1:3">
      <c r="A32" t="s">
        <v>61</v>
      </c>
      <c r="B32" t="s">
        <v>62</v>
      </c>
      <c r="C32" s="3" t="str">
        <f>IF(ISNUMBER(SEARCH([1]Veri_Girişi!$E$6,A30)),MAKS($B$1:B29)+1,"")</f>
        <v/>
      </c>
    </row>
    <row r="33" spans="1:3">
      <c r="A33" t="s">
        <v>63</v>
      </c>
      <c r="B33" t="s">
        <v>64</v>
      </c>
      <c r="C33" s="3" t="str">
        <f>IF(ISNUMBER(SEARCH([1]Veri_Girişi!$E$6,A31)),MAKS($B$1:B30)+1,"")</f>
        <v/>
      </c>
    </row>
    <row r="34" spans="1:3">
      <c r="A34" t="s">
        <v>65</v>
      </c>
      <c r="B34" t="s">
        <v>66</v>
      </c>
      <c r="C34" s="3" t="str">
        <f>IF(ISNUMBER(SEARCH([1]Veri_Girişi!$E$6,A32)),MAKS($B$1:B31)+1,"")</f>
        <v/>
      </c>
    </row>
    <row r="35" spans="1:3">
      <c r="A35" t="s">
        <v>67</v>
      </c>
      <c r="B35" t="s">
        <v>68</v>
      </c>
      <c r="C35" s="3" t="str">
        <f>IF(ISNUMBER(SEARCH([1]Veri_Girişi!$E$6,A33)),MAKS($B$1:B32)+1,"")</f>
        <v/>
      </c>
    </row>
    <row r="36" spans="1:3">
      <c r="A36" t="s">
        <v>69</v>
      </c>
      <c r="B36" t="s">
        <v>70</v>
      </c>
      <c r="C36" s="3" t="str">
        <f>IF(ISNUMBER(SEARCH([1]Veri_Girişi!$E$6,A34)),MAKS($B$1:B33)+1,"")</f>
        <v/>
      </c>
    </row>
    <row r="37" spans="1:3">
      <c r="A37" t="s">
        <v>71</v>
      </c>
      <c r="B37" t="s">
        <v>72</v>
      </c>
      <c r="C37" s="3" t="str">
        <f>IF(ISNUMBER(SEARCH([1]Veri_Girişi!$E$6,A35)),MAKS($B$1:B34)+1,"")</f>
        <v/>
      </c>
    </row>
    <row r="38" spans="1:3">
      <c r="A38" t="s">
        <v>73</v>
      </c>
      <c r="B38" t="s">
        <v>74</v>
      </c>
      <c r="C38" s="3" t="str">
        <f>IF(ISNUMBER(SEARCH([1]Veri_Girişi!$E$6,A36)),MAKS($B$1:B35)+1,"")</f>
        <v/>
      </c>
    </row>
    <row r="39" spans="1:3">
      <c r="A39" t="s">
        <v>75</v>
      </c>
      <c r="B39" t="s">
        <v>76</v>
      </c>
      <c r="C39" s="3" t="str">
        <f>IF(ISNUMBER(SEARCH([1]Veri_Girişi!$E$6,A37)),MAKS($B$1:B36)+1,"")</f>
        <v/>
      </c>
    </row>
    <row r="40" spans="1:3">
      <c r="A40" t="s">
        <v>77</v>
      </c>
      <c r="B40" t="s">
        <v>78</v>
      </c>
      <c r="C40" s="3" t="str">
        <f>IF(ISNUMBER(SEARCH([1]Veri_Girişi!$E$6,A38)),MAKS($B$1:B37)+1,"")</f>
        <v/>
      </c>
    </row>
    <row r="41" spans="1:3">
      <c r="A41" t="s">
        <v>79</v>
      </c>
      <c r="B41" t="s">
        <v>80</v>
      </c>
      <c r="C41" s="3" t="str">
        <f>IF(ISNUMBER(SEARCH([1]Veri_Girişi!$E$6,A39)),MAKS($B$1:B38)+1,"")</f>
        <v/>
      </c>
    </row>
    <row r="42" spans="1:3">
      <c r="A42" t="s">
        <v>81</v>
      </c>
      <c r="B42" t="s">
        <v>82</v>
      </c>
      <c r="C42" s="3" t="str">
        <f>IF(ISNUMBER(SEARCH([1]Veri_Girişi!$E$6,A40)),MAKS($B$1:B39)+1,"")</f>
        <v/>
      </c>
    </row>
    <row r="43" spans="1:3">
      <c r="A43" t="s">
        <v>83</v>
      </c>
      <c r="B43" t="s">
        <v>84</v>
      </c>
      <c r="C43" s="3" t="str">
        <f>IF(ISNUMBER(SEARCH([1]Veri_Girişi!$E$6,A41)),MAKS($B$1:B40)+1,"")</f>
        <v/>
      </c>
    </row>
    <row r="44" spans="1:3">
      <c r="A44" t="s">
        <v>85</v>
      </c>
      <c r="B44" t="s">
        <v>86</v>
      </c>
      <c r="C44" s="3" t="str">
        <f>IF(ISNUMBER(SEARCH([1]Veri_Girişi!$E$6,A42)),MAKS($B$1:B41)+1,"")</f>
        <v/>
      </c>
    </row>
    <row r="45" spans="1:3">
      <c r="A45" t="s">
        <v>87</v>
      </c>
      <c r="B45" t="s">
        <v>88</v>
      </c>
      <c r="C45" s="3" t="str">
        <f>IF(ISNUMBER(SEARCH([1]Veri_Girişi!$E$6,A43)),MAKS($B$1:B42)+1,"")</f>
        <v/>
      </c>
    </row>
    <row r="46" spans="1:3">
      <c r="A46" t="s">
        <v>89</v>
      </c>
      <c r="B46" t="s">
        <v>90</v>
      </c>
      <c r="C46" s="3" t="str">
        <f>IF(ISNUMBER(SEARCH([1]Veri_Girişi!$E$6,A44)),MAKS($B$1:B43)+1,"")</f>
        <v/>
      </c>
    </row>
    <row r="47" spans="1:3">
      <c r="A47" t="s">
        <v>91</v>
      </c>
      <c r="B47" t="s">
        <v>92</v>
      </c>
      <c r="C47" s="3" t="str">
        <f>IF(ISNUMBER(SEARCH([1]Veri_Girişi!$E$6,A45)),MAKS($B$1:B44)+1,"")</f>
        <v/>
      </c>
    </row>
    <row r="48" spans="1:3">
      <c r="A48" t="s">
        <v>93</v>
      </c>
      <c r="B48" t="s">
        <v>94</v>
      </c>
      <c r="C48" s="3" t="str">
        <f>IF(ISNUMBER(SEARCH([1]Veri_Girişi!$E$6,A46)),MAKS($B$1:B45)+1,"")</f>
        <v/>
      </c>
    </row>
    <row r="49" spans="1:3">
      <c r="A49" t="s">
        <v>95</v>
      </c>
      <c r="B49" t="s">
        <v>96</v>
      </c>
      <c r="C49" s="3" t="str">
        <f>IF(ISNUMBER(SEARCH([1]Veri_Girişi!$E$6,A47)),MAKS($B$1:B46)+1,"")</f>
        <v/>
      </c>
    </row>
    <row r="50" spans="1:3">
      <c r="A50" t="s">
        <v>97</v>
      </c>
      <c r="B50" t="s">
        <v>98</v>
      </c>
      <c r="C50" s="3" t="str">
        <f>IF(ISNUMBER(SEARCH([1]Veri_Girişi!$E$6,A48)),MAKS($B$1:B47)+1,"")</f>
        <v/>
      </c>
    </row>
    <row r="51" spans="1:3">
      <c r="A51" t="s">
        <v>99</v>
      </c>
      <c r="B51" t="s">
        <v>100</v>
      </c>
      <c r="C51" s="3" t="str">
        <f>IF(ISNUMBER(SEARCH([1]Veri_Girişi!$E$6,A49)),MAKS($B$1:B48)+1,"")</f>
        <v/>
      </c>
    </row>
    <row r="52" spans="1:3">
      <c r="A52" t="s">
        <v>101</v>
      </c>
      <c r="B52" t="s">
        <v>102</v>
      </c>
      <c r="C52" s="3" t="str">
        <f>IF(ISNUMBER(SEARCH([1]Veri_Girişi!$E$6,A50)),MAKS($B$1:B49)+1,"")</f>
        <v/>
      </c>
    </row>
    <row r="53" spans="1:3">
      <c r="A53" t="s">
        <v>103</v>
      </c>
      <c r="B53" t="s">
        <v>104</v>
      </c>
      <c r="C53" s="3" t="str">
        <f>IF(ISNUMBER(SEARCH([1]Veri_Girişi!$E$6,A51)),MAKS($B$1:B50)+1,"")</f>
        <v/>
      </c>
    </row>
    <row r="54" spans="1:3">
      <c r="A54" t="s">
        <v>105</v>
      </c>
      <c r="B54" t="s">
        <v>106</v>
      </c>
      <c r="C54" s="3" t="str">
        <f>IF(ISNUMBER(SEARCH([1]Veri_Girişi!$E$6,A52)),MAKS($B$1:B51)+1,"")</f>
        <v/>
      </c>
    </row>
    <row r="55" spans="1:3">
      <c r="A55" t="s">
        <v>107</v>
      </c>
      <c r="B55" t="s">
        <v>108</v>
      </c>
      <c r="C55" s="3" t="str">
        <f>IF(ISNUMBER(SEARCH([1]Veri_Girişi!$E$6,A53)),MAKS($B$1:B52)+1,"")</f>
        <v/>
      </c>
    </row>
    <row r="56" spans="1:3">
      <c r="A56" t="s">
        <v>109</v>
      </c>
      <c r="B56" t="s">
        <v>110</v>
      </c>
      <c r="C56" s="3" t="str">
        <f>IF(ISNUMBER(SEARCH([1]Veri_Girişi!$E$6,A54)),MAKS($B$1:B53)+1,"")</f>
        <v/>
      </c>
    </row>
    <row r="57" spans="1:3">
      <c r="A57" t="s">
        <v>111</v>
      </c>
      <c r="B57" t="s">
        <v>112</v>
      </c>
      <c r="C57" s="3" t="str">
        <f>IF(ISNUMBER(SEARCH([1]Veri_Girişi!$E$6,A55)),MAKS($B$1:B54)+1,"")</f>
        <v/>
      </c>
    </row>
    <row r="58" spans="1:3">
      <c r="A58" t="s">
        <v>113</v>
      </c>
      <c r="B58" t="s">
        <v>114</v>
      </c>
      <c r="C58" s="3" t="str">
        <f>IF(ISNUMBER(SEARCH([1]Veri_Girişi!$E$6,A56)),MAKS($B$1:B55)+1,"")</f>
        <v/>
      </c>
    </row>
    <row r="59" spans="1:3">
      <c r="A59" t="s">
        <v>115</v>
      </c>
      <c r="B59" t="s">
        <v>116</v>
      </c>
      <c r="C59" s="3" t="str">
        <f>IF(ISNUMBER(SEARCH([1]Veri_Girişi!$E$6,A57)),MAKS($B$1:B56)+1,"")</f>
        <v/>
      </c>
    </row>
    <row r="60" spans="1:3">
      <c r="A60" t="s">
        <v>117</v>
      </c>
      <c r="B60" t="s">
        <v>118</v>
      </c>
      <c r="C60" s="3" t="str">
        <f>IF(ISNUMBER(SEARCH([1]Veri_Girişi!$E$6,A58)),MAKS($B$1:B57)+1,"")</f>
        <v/>
      </c>
    </row>
    <row r="61" spans="1:3">
      <c r="A61" t="s">
        <v>119</v>
      </c>
      <c r="B61" t="s">
        <v>120</v>
      </c>
      <c r="C61" s="3" t="str">
        <f>IF(ISNUMBER(SEARCH([1]Veri_Girişi!$E$6,A59)),MAKS($B$1:B58)+1,"")</f>
        <v/>
      </c>
    </row>
    <row r="62" spans="1:3">
      <c r="A62" t="s">
        <v>121</v>
      </c>
      <c r="B62" t="s">
        <v>122</v>
      </c>
      <c r="C62" s="3" t="str">
        <f>IF(ISNUMBER(SEARCH([1]Veri_Girişi!$E$6,A60)),MAKS($B$1:B59)+1,"")</f>
        <v/>
      </c>
    </row>
    <row r="63" spans="1:3">
      <c r="A63" t="s">
        <v>123</v>
      </c>
      <c r="B63" t="s">
        <v>124</v>
      </c>
      <c r="C63" s="3" t="str">
        <f>IF(ISNUMBER(SEARCH([1]Veri_Girişi!$E$6,A61)),MAKS($B$1:B60)+1,"")</f>
        <v/>
      </c>
    </row>
    <row r="64" spans="1:3">
      <c r="A64" t="s">
        <v>125</v>
      </c>
      <c r="B64" t="s">
        <v>126</v>
      </c>
      <c r="C64" s="3" t="str">
        <f>IF(ISNUMBER(SEARCH([1]Veri_Girişi!$E$6,A62)),MAKS($B$1:B61)+1,"")</f>
        <v/>
      </c>
    </row>
    <row r="65" spans="1:3">
      <c r="A65" t="s">
        <v>127</v>
      </c>
      <c r="B65" t="s">
        <v>128</v>
      </c>
      <c r="C65" s="3" t="str">
        <f>IF(ISNUMBER(SEARCH([1]Veri_Girişi!$E$6,A63)),MAKS($B$1:B62)+1,"")</f>
        <v/>
      </c>
    </row>
    <row r="66" spans="1:3">
      <c r="A66" t="s">
        <v>129</v>
      </c>
      <c r="B66" t="s">
        <v>130</v>
      </c>
      <c r="C66" s="3" t="str">
        <f>IF(ISNUMBER(SEARCH([1]Veri_Girişi!$E$6,A64)),MAKS($B$1:B63)+1,"")</f>
        <v/>
      </c>
    </row>
    <row r="67" spans="1:3">
      <c r="A67" t="s">
        <v>131</v>
      </c>
      <c r="B67" t="s">
        <v>132</v>
      </c>
      <c r="C67" s="3" t="str">
        <f>IF(ISNUMBER(SEARCH([1]Veri_Girişi!$E$6,A65)),MAKS($B$1:B64)+1,"")</f>
        <v/>
      </c>
    </row>
    <row r="68" spans="1:3">
      <c r="A68" t="s">
        <v>133</v>
      </c>
      <c r="B68" t="s">
        <v>134</v>
      </c>
      <c r="C68" s="3" t="str">
        <f>IF(ISNUMBER(SEARCH([1]Veri_Girişi!$E$6,A66)),MAKS($B$1:B65)+1,"")</f>
        <v/>
      </c>
    </row>
    <row r="69" spans="1:3">
      <c r="A69" t="s">
        <v>135</v>
      </c>
      <c r="B69" t="s">
        <v>136</v>
      </c>
      <c r="C69" s="3" t="str">
        <f>IF(ISNUMBER(SEARCH([1]Veri_Girişi!$E$6,A67)),MAKS($B$1:B66)+1,"")</f>
        <v/>
      </c>
    </row>
    <row r="70" spans="1:3">
      <c r="A70" t="s">
        <v>137</v>
      </c>
      <c r="B70" t="s">
        <v>138</v>
      </c>
      <c r="C70" s="3" t="str">
        <f>IF(ISNUMBER(SEARCH([1]Veri_Girişi!$E$6,A68)),MAKS($B$1:B67)+1,"")</f>
        <v/>
      </c>
    </row>
    <row r="71" spans="1:3">
      <c r="A71" t="s">
        <v>139</v>
      </c>
      <c r="B71" t="s">
        <v>140</v>
      </c>
      <c r="C71" s="3" t="str">
        <f>IF(ISNUMBER(SEARCH([1]Veri_Girişi!$E$6,A69)),MAKS($B$1:B68)+1,"")</f>
        <v/>
      </c>
    </row>
    <row r="72" spans="1:3">
      <c r="A72" t="s">
        <v>141</v>
      </c>
      <c r="B72" t="s">
        <v>142</v>
      </c>
      <c r="C72" s="3" t="str">
        <f>IF(ISNUMBER(SEARCH([1]Veri_Girişi!$E$6,A70)),MAKS($B$1:B69)+1,"")</f>
        <v/>
      </c>
    </row>
    <row r="73" spans="1:3">
      <c r="A73" t="s">
        <v>143</v>
      </c>
      <c r="B73" t="s">
        <v>144</v>
      </c>
      <c r="C73" s="3" t="str">
        <f>IF(ISNUMBER(SEARCH([1]Veri_Girişi!$E$6,A71)),MAKS($B$1:B70)+1,"")</f>
        <v/>
      </c>
    </row>
    <row r="74" spans="1:3">
      <c r="A74" t="s">
        <v>145</v>
      </c>
      <c r="B74" t="s">
        <v>146</v>
      </c>
      <c r="C74" s="3" t="str">
        <f>IF(ISNUMBER(SEARCH([1]Veri_Girişi!$E$6,A72)),MAKS($B$1:B71)+1,"")</f>
        <v/>
      </c>
    </row>
    <row r="75" spans="1:3">
      <c r="A75" t="s">
        <v>147</v>
      </c>
      <c r="B75" t="s">
        <v>148</v>
      </c>
      <c r="C75" s="3" t="str">
        <f>IF(ISNUMBER(SEARCH([1]Veri_Girişi!$E$6,A73)),MAKS($B$1:B72)+1,"")</f>
        <v/>
      </c>
    </row>
    <row r="76" spans="1:3">
      <c r="A76" t="s">
        <v>149</v>
      </c>
      <c r="B76" t="s">
        <v>150</v>
      </c>
      <c r="C76" s="3" t="str">
        <f>IF(ISNUMBER(SEARCH([1]Veri_Girişi!$E$6,A74)),MAKS($B$1:B73)+1,"")</f>
        <v/>
      </c>
    </row>
    <row r="77" spans="1:3">
      <c r="A77" t="s">
        <v>151</v>
      </c>
      <c r="B77" t="s">
        <v>152</v>
      </c>
      <c r="C77" s="3" t="str">
        <f>IF(ISNUMBER(SEARCH([1]Veri_Girişi!$E$6,A75)),MAKS($B$1:B74)+1,"")</f>
        <v/>
      </c>
    </row>
    <row r="78" spans="1:3">
      <c r="A78" t="s">
        <v>153</v>
      </c>
      <c r="B78" t="s">
        <v>154</v>
      </c>
      <c r="C78" s="3" t="str">
        <f>IF(ISNUMBER(SEARCH([1]Veri_Girişi!$E$6,A76)),MAKS($B$1:B75)+1,"")</f>
        <v/>
      </c>
    </row>
    <row r="79" spans="1:3">
      <c r="A79" t="s">
        <v>155</v>
      </c>
      <c r="B79" t="s">
        <v>156</v>
      </c>
      <c r="C79" s="3" t="str">
        <f>IF(ISNUMBER(SEARCH([1]Veri_Girişi!$E$6,A77)),MAKS($B$1:B76)+1,"")</f>
        <v/>
      </c>
    </row>
    <row r="80" spans="1:3">
      <c r="A80" t="s">
        <v>157</v>
      </c>
      <c r="B80" t="s">
        <v>158</v>
      </c>
      <c r="C80" s="3" t="str">
        <f>IF(ISNUMBER(SEARCH([1]Veri_Girişi!$E$6,A78)),MAKS($B$1:B77)+1,"")</f>
        <v/>
      </c>
    </row>
    <row r="81" spans="1:3">
      <c r="A81" t="s">
        <v>159</v>
      </c>
      <c r="B81" t="s">
        <v>160</v>
      </c>
      <c r="C81" s="3" t="str">
        <f>IF(ISNUMBER(SEARCH([1]Veri_Girişi!$E$6,A79)),MAKS($B$1:B78)+1,"")</f>
        <v/>
      </c>
    </row>
    <row r="82" spans="1:3">
      <c r="A82" t="s">
        <v>161</v>
      </c>
      <c r="B82" t="s">
        <v>162</v>
      </c>
      <c r="C82" s="3" t="str">
        <f>IF(ISNUMBER(SEARCH([1]Veri_Girişi!$E$6,A80)),MAKS($B$1:B79)+1,"")</f>
        <v/>
      </c>
    </row>
    <row r="83" spans="1:3">
      <c r="A83" t="s">
        <v>163</v>
      </c>
      <c r="B83" t="s">
        <v>164</v>
      </c>
      <c r="C83" s="3" t="str">
        <f>IF(ISNUMBER(SEARCH([1]Veri_Girişi!$E$6,A81)),MAKS($B$1:B80)+1,"")</f>
        <v/>
      </c>
    </row>
    <row r="84" spans="1:3">
      <c r="A84" t="s">
        <v>165</v>
      </c>
      <c r="B84" t="s">
        <v>166</v>
      </c>
      <c r="C84" s="3" t="str">
        <f>IF(ISNUMBER(SEARCH([1]Veri_Girişi!$E$6,A82)),MAKS($B$1:B81)+1,"")</f>
        <v/>
      </c>
    </row>
    <row r="85" spans="1:3">
      <c r="A85" t="s">
        <v>167</v>
      </c>
      <c r="B85" t="s">
        <v>168</v>
      </c>
      <c r="C85" s="3" t="str">
        <f>IF(ISNUMBER(SEARCH([1]Veri_Girişi!$E$6,A83)),MAKS($B$1:B82)+1,"")</f>
        <v/>
      </c>
    </row>
    <row r="86" spans="1:3">
      <c r="A86" t="s">
        <v>169</v>
      </c>
      <c r="B86" t="s">
        <v>170</v>
      </c>
      <c r="C86" s="3" t="str">
        <f>IF(ISNUMBER(SEARCH([1]Veri_Girişi!$E$6,A84)),MAKS($B$1:B83)+1,"")</f>
        <v/>
      </c>
    </row>
    <row r="87" spans="1:3">
      <c r="A87" t="s">
        <v>171</v>
      </c>
      <c r="B87" t="s">
        <v>172</v>
      </c>
      <c r="C87" s="3" t="str">
        <f>IF(ISNUMBER(SEARCH([1]Veri_Girişi!$E$6,A85)),MAKS($B$1:B84)+1,"")</f>
        <v/>
      </c>
    </row>
    <row r="88" spans="1:3">
      <c r="A88" t="s">
        <v>171</v>
      </c>
      <c r="B88" t="s">
        <v>172</v>
      </c>
      <c r="C88" s="3" t="str">
        <f>IF(ISNUMBER(SEARCH([1]Veri_Girişi!$E$6,A86)),MAKS($B$1:B85)+1,"")</f>
        <v/>
      </c>
    </row>
    <row r="89" spans="1:3">
      <c r="A89" t="s">
        <v>173</v>
      </c>
      <c r="B89" t="s">
        <v>174</v>
      </c>
      <c r="C89" s="3" t="str">
        <f>IF(ISNUMBER(SEARCH([1]Veri_Girişi!$E$6,A87)),MAKS($B$1:B86)+1,"")</f>
        <v/>
      </c>
    </row>
    <row r="90" spans="1:3">
      <c r="A90" t="s">
        <v>175</v>
      </c>
      <c r="B90" t="s">
        <v>176</v>
      </c>
      <c r="C90" s="3" t="str">
        <f>IF(ISNUMBER(SEARCH([1]Veri_Girişi!$E$6,A88)),MAKS($B$1:B87)+1,"")</f>
        <v/>
      </c>
    </row>
    <row r="91" spans="1:3">
      <c r="A91" t="s">
        <v>177</v>
      </c>
      <c r="B91" t="s">
        <v>178</v>
      </c>
      <c r="C91" s="3" t="str">
        <f>IF(ISNUMBER(SEARCH([1]Veri_Girişi!$E$6,A89)),MAKS($B$1:B88)+1,"")</f>
        <v/>
      </c>
    </row>
    <row r="92" spans="1:3">
      <c r="A92" t="s">
        <v>179</v>
      </c>
      <c r="B92" t="s">
        <v>180</v>
      </c>
      <c r="C92" s="3" t="str">
        <f>IF(ISNUMBER(SEARCH([1]Veri_Girişi!$E$6,A90)),MAKS($B$1:B89)+1,"")</f>
        <v/>
      </c>
    </row>
    <row r="93" spans="1:3">
      <c r="A93" t="s">
        <v>181</v>
      </c>
      <c r="B93" t="s">
        <v>182</v>
      </c>
      <c r="C93" s="3" t="str">
        <f>IF(ISNUMBER(SEARCH([1]Veri_Girişi!$E$6,A91)),MAKS($B$1:B90)+1,"")</f>
        <v/>
      </c>
    </row>
    <row r="94" spans="1:3">
      <c r="A94" t="s">
        <v>183</v>
      </c>
      <c r="B94" t="s">
        <v>184</v>
      </c>
      <c r="C94" s="3" t="str">
        <f>IF(ISNUMBER(SEARCH([1]Veri_Girişi!$E$6,A92)),MAKS($B$1:B91)+1,"")</f>
        <v/>
      </c>
    </row>
    <row r="95" spans="1:3">
      <c r="A95" t="s">
        <v>185</v>
      </c>
      <c r="B95" t="s">
        <v>186</v>
      </c>
      <c r="C95" s="3" t="str">
        <f>IF(ISNUMBER(SEARCH([1]Veri_Girişi!$E$6,A93)),MAKS($B$1:B92)+1,"")</f>
        <v/>
      </c>
    </row>
    <row r="96" spans="1:3">
      <c r="A96" t="s">
        <v>187</v>
      </c>
      <c r="B96" t="s">
        <v>188</v>
      </c>
      <c r="C96" s="3" t="str">
        <f>IF(ISNUMBER(SEARCH([1]Veri_Girişi!$E$6,A94)),MAKS($B$1:B93)+1,"")</f>
        <v/>
      </c>
    </row>
    <row r="97" spans="1:3">
      <c r="A97" t="s">
        <v>189</v>
      </c>
      <c r="B97" t="s">
        <v>190</v>
      </c>
      <c r="C97" s="3" t="str">
        <f>IF(ISNUMBER(SEARCH([1]Veri_Girişi!$E$6,A95)),MAKS($B$1:B94)+1,"")</f>
        <v/>
      </c>
    </row>
    <row r="98" spans="1:3">
      <c r="A98" t="s">
        <v>191</v>
      </c>
      <c r="B98" t="s">
        <v>192</v>
      </c>
      <c r="C98" s="3" t="str">
        <f>IF(ISNUMBER(SEARCH([1]Veri_Girişi!$E$6,A96)),MAKS($B$1:B95)+1,"")</f>
        <v/>
      </c>
    </row>
    <row r="99" spans="1:3">
      <c r="A99" t="s">
        <v>193</v>
      </c>
      <c r="B99" t="s">
        <v>194</v>
      </c>
      <c r="C99" s="3" t="str">
        <f>IF(ISNUMBER(SEARCH([1]Veri_Girişi!$E$6,A97)),MAKS($B$1:B96)+1,"")</f>
        <v/>
      </c>
    </row>
    <row r="100" spans="1:3">
      <c r="A100" t="s">
        <v>195</v>
      </c>
      <c r="B100" t="s">
        <v>196</v>
      </c>
      <c r="C100" s="3" t="str">
        <f>IF(ISNUMBER(SEARCH([1]Veri_Girişi!$E$6,A98)),MAKS($B$1:B97)+1,"")</f>
        <v/>
      </c>
    </row>
    <row r="101" spans="1:3">
      <c r="A101" t="s">
        <v>197</v>
      </c>
      <c r="B101" t="s">
        <v>198</v>
      </c>
      <c r="C101" s="3" t="str">
        <f>IF(ISNUMBER(SEARCH([1]Veri_Girişi!$E$6,A99)),MAKS($B$1:B98)+1,"")</f>
        <v/>
      </c>
    </row>
    <row r="102" spans="1:3">
      <c r="A102" t="s">
        <v>199</v>
      </c>
      <c r="B102" t="s">
        <v>200</v>
      </c>
      <c r="C102" s="3" t="str">
        <f>IF(ISNUMBER(SEARCH([1]Veri_Girişi!$E$6,A100)),MAKS($B$1:B99)+1,"")</f>
        <v/>
      </c>
    </row>
    <row r="103" spans="1:3">
      <c r="A103" t="s">
        <v>201</v>
      </c>
      <c r="B103" t="s">
        <v>202</v>
      </c>
      <c r="C103" s="3" t="str">
        <f>IF(ISNUMBER(SEARCH([1]Veri_Girişi!$E$6,A101)),MAKS($B$1:B100)+1,"")</f>
        <v/>
      </c>
    </row>
    <row r="104" spans="1:3">
      <c r="A104" t="s">
        <v>203</v>
      </c>
      <c r="B104" t="s">
        <v>204</v>
      </c>
      <c r="C104" s="3" t="str">
        <f>IF(ISNUMBER(SEARCH([1]Veri_Girişi!$E$6,A102)),MAKS($B$1:B101)+1,"")</f>
        <v/>
      </c>
    </row>
    <row r="105" spans="1:3">
      <c r="A105" t="s">
        <v>205</v>
      </c>
      <c r="B105" t="s">
        <v>206</v>
      </c>
      <c r="C105" s="3" t="str">
        <f>IF(ISNUMBER(SEARCH([1]Veri_Girişi!$E$6,A103)),MAKS($B$1:B102)+1,"")</f>
        <v/>
      </c>
    </row>
    <row r="106" spans="1:3">
      <c r="A106" t="s">
        <v>207</v>
      </c>
      <c r="B106" t="s">
        <v>208</v>
      </c>
      <c r="C106" s="3" t="str">
        <f>IF(ISNUMBER(SEARCH([1]Veri_Girişi!$E$6,A104)),MAKS($B$1:B103)+1,"")</f>
        <v/>
      </c>
    </row>
    <row r="107" spans="1:3">
      <c r="A107" t="s">
        <v>209</v>
      </c>
      <c r="B107" t="s">
        <v>210</v>
      </c>
      <c r="C107" s="3" t="str">
        <f>IF(ISNUMBER(SEARCH([1]Veri_Girişi!$E$6,A105)),MAKS($B$1:B104)+1,"")</f>
        <v/>
      </c>
    </row>
    <row r="108" spans="1:3">
      <c r="A108" t="s">
        <v>211</v>
      </c>
      <c r="B108" t="s">
        <v>212</v>
      </c>
      <c r="C108" s="3" t="str">
        <f>IF(ISNUMBER(SEARCH([1]Veri_Girişi!$E$6,A106)),MAKS($B$1:B105)+1,"")</f>
        <v/>
      </c>
    </row>
    <row r="109" spans="1:3">
      <c r="A109" t="s">
        <v>213</v>
      </c>
      <c r="B109" t="s">
        <v>214</v>
      </c>
      <c r="C109" s="3" t="str">
        <f>IF(ISNUMBER(SEARCH([1]Veri_Girişi!$E$6,A107)),MAKS($B$1:B106)+1,"")</f>
        <v/>
      </c>
    </row>
    <row r="110" spans="1:3">
      <c r="A110" t="s">
        <v>215</v>
      </c>
      <c r="B110" t="s">
        <v>216</v>
      </c>
      <c r="C110" s="3" t="str">
        <f>IF(ISNUMBER(SEARCH([1]Veri_Girişi!$E$6,A108)),MAKS($B$1:B107)+1,"")</f>
        <v/>
      </c>
    </row>
    <row r="111" spans="1:3">
      <c r="A111" t="s">
        <v>217</v>
      </c>
      <c r="B111" t="s">
        <v>218</v>
      </c>
      <c r="C111" s="3" t="str">
        <f>IF(ISNUMBER(SEARCH([1]Veri_Girişi!$E$6,A109)),MAKS($B$1:B108)+1,"")</f>
        <v/>
      </c>
    </row>
    <row r="112" spans="1:3">
      <c r="A112" t="s">
        <v>219</v>
      </c>
      <c r="B112" t="s">
        <v>220</v>
      </c>
      <c r="C112" s="3" t="str">
        <f>IF(ISNUMBER(SEARCH([1]Veri_Girişi!$E$6,A110)),MAKS($B$1:B109)+1,"")</f>
        <v/>
      </c>
    </row>
    <row r="113" spans="1:3">
      <c r="A113" t="s">
        <v>221</v>
      </c>
      <c r="B113" t="s">
        <v>222</v>
      </c>
      <c r="C113" s="3" t="str">
        <f>IF(ISNUMBER(SEARCH([1]Veri_Girişi!$E$6,A111)),MAKS($B$1:B110)+1,"")</f>
        <v/>
      </c>
    </row>
    <row r="114" spans="1:3">
      <c r="A114" t="s">
        <v>223</v>
      </c>
      <c r="B114" t="s">
        <v>224</v>
      </c>
      <c r="C114" s="3" t="str">
        <f>IF(ISNUMBER(SEARCH([1]Veri_Girişi!$E$6,A112)),MAKS($B$1:B111)+1,"")</f>
        <v/>
      </c>
    </row>
    <row r="115" spans="1:3">
      <c r="A115" t="s">
        <v>225</v>
      </c>
      <c r="B115" t="s">
        <v>226</v>
      </c>
      <c r="C115" s="3" t="str">
        <f>IF(ISNUMBER(SEARCH([1]Veri_Girişi!$E$6,A113)),MAKS($B$1:B112)+1,"")</f>
        <v/>
      </c>
    </row>
    <row r="116" spans="1:3">
      <c r="A116" t="s">
        <v>227</v>
      </c>
      <c r="B116" t="s">
        <v>228</v>
      </c>
      <c r="C116" s="3" t="str">
        <f>IF(ISNUMBER(SEARCH([1]Veri_Girişi!$E$6,A114)),MAKS($B$1:B113)+1,"")</f>
        <v/>
      </c>
    </row>
    <row r="117" spans="1:3">
      <c r="A117" t="s">
        <v>229</v>
      </c>
      <c r="B117" t="s">
        <v>230</v>
      </c>
      <c r="C117" s="3" t="str">
        <f>IF(ISNUMBER(SEARCH([1]Veri_Girişi!$E$6,A115)),MAKS($B$1:B114)+1,"")</f>
        <v/>
      </c>
    </row>
    <row r="118" spans="1:3">
      <c r="A118" t="s">
        <v>231</v>
      </c>
      <c r="B118" t="s">
        <v>232</v>
      </c>
      <c r="C118" s="3" t="str">
        <f>IF(ISNUMBER(SEARCH([1]Veri_Girişi!$E$6,A116)),MAKS($B$1:B115)+1,"")</f>
        <v/>
      </c>
    </row>
    <row r="119" spans="1:3">
      <c r="A119" t="s">
        <v>233</v>
      </c>
      <c r="B119" t="s">
        <v>234</v>
      </c>
      <c r="C119" s="3" t="str">
        <f>IF(ISNUMBER(SEARCH([1]Veri_Girişi!$E$6,A117)),MAKS($B$1:B116)+1,"")</f>
        <v/>
      </c>
    </row>
    <row r="120" spans="1:3">
      <c r="A120" t="s">
        <v>235</v>
      </c>
      <c r="B120" t="s">
        <v>236</v>
      </c>
      <c r="C120" s="3" t="str">
        <f>IF(ISNUMBER(SEARCH([1]Veri_Girişi!$E$6,A118)),MAKS($B$1:B117)+1,"")</f>
        <v/>
      </c>
    </row>
    <row r="121" spans="1:3">
      <c r="A121" t="s">
        <v>237</v>
      </c>
      <c r="B121" t="s">
        <v>238</v>
      </c>
      <c r="C121" s="3" t="str">
        <f>IF(ISNUMBER(SEARCH([1]Veri_Girişi!$E$6,A119)),MAKS($B$1:B118)+1,"")</f>
        <v/>
      </c>
    </row>
    <row r="122" spans="1:3">
      <c r="A122" t="s">
        <v>239</v>
      </c>
      <c r="B122" t="s">
        <v>240</v>
      </c>
      <c r="C122" s="3" t="str">
        <f>IF(ISNUMBER(SEARCH([1]Veri_Girişi!$E$6,A120)),MAKS($B$1:B119)+1,"")</f>
        <v/>
      </c>
    </row>
    <row r="123" spans="1:3">
      <c r="A123" t="s">
        <v>241</v>
      </c>
      <c r="B123" t="s">
        <v>242</v>
      </c>
      <c r="C123" s="3" t="str">
        <f>IF(ISNUMBER(SEARCH([1]Veri_Girişi!$E$6,A121)),MAKS($B$1:B120)+1,"")</f>
        <v/>
      </c>
    </row>
    <row r="124" spans="1:3">
      <c r="A124" t="s">
        <v>243</v>
      </c>
      <c r="B124" t="s">
        <v>244</v>
      </c>
      <c r="C124" s="3" t="str">
        <f>IF(ISNUMBER(SEARCH([1]Veri_Girişi!$E$6,A122)),MAKS($B$1:B121)+1,"")</f>
        <v/>
      </c>
    </row>
    <row r="125" spans="1:3">
      <c r="A125" t="s">
        <v>245</v>
      </c>
      <c r="B125" t="s">
        <v>246</v>
      </c>
      <c r="C125" s="3" t="str">
        <f>IF(ISNUMBER(SEARCH([1]Veri_Girişi!$E$6,A123)),MAKS($B$1:B122)+1,"")</f>
        <v/>
      </c>
    </row>
    <row r="126" spans="1:3">
      <c r="A126" t="s">
        <v>247</v>
      </c>
      <c r="B126" t="s">
        <v>248</v>
      </c>
      <c r="C126" s="3" t="str">
        <f>IF(ISNUMBER(SEARCH([1]Veri_Girişi!$E$6,A124)),MAKS($B$1:B123)+1,"")</f>
        <v/>
      </c>
    </row>
    <row r="127" spans="1:3">
      <c r="A127" t="s">
        <v>249</v>
      </c>
      <c r="B127" t="s">
        <v>250</v>
      </c>
      <c r="C127" s="3" t="str">
        <f>IF(ISNUMBER(SEARCH([1]Veri_Girişi!$E$6,A125)),MAKS($B$1:B124)+1,"")</f>
        <v/>
      </c>
    </row>
    <row r="128" spans="1:3">
      <c r="A128" t="s">
        <v>251</v>
      </c>
      <c r="B128" t="s">
        <v>252</v>
      </c>
      <c r="C128" s="3" t="str">
        <f>IF(ISNUMBER(SEARCH([1]Veri_Girişi!$E$6,A126)),MAKS($B$1:B125)+1,"")</f>
        <v/>
      </c>
    </row>
    <row r="129" spans="1:3">
      <c r="A129" t="s">
        <v>253</v>
      </c>
      <c r="B129" t="s">
        <v>254</v>
      </c>
      <c r="C129" s="3" t="str">
        <f>IF(ISNUMBER(SEARCH([1]Veri_Girişi!$E$6,A127)),MAKS($B$1:B126)+1,"")</f>
        <v/>
      </c>
    </row>
    <row r="130" spans="1:3">
      <c r="A130" t="s">
        <v>255</v>
      </c>
      <c r="B130" t="s">
        <v>256</v>
      </c>
      <c r="C130" s="3" t="str">
        <f>IF(ISNUMBER(SEARCH([1]Veri_Girişi!$E$6,A128)),MAKS($B$1:B127)+1,"")</f>
        <v/>
      </c>
    </row>
    <row r="131" spans="1:3">
      <c r="A131" t="s">
        <v>257</v>
      </c>
      <c r="B131" t="s">
        <v>258</v>
      </c>
      <c r="C131" s="3" t="str">
        <f>IF(ISNUMBER(SEARCH([1]Veri_Girişi!$E$6,A129)),MAKS($B$1:B128)+1,"")</f>
        <v/>
      </c>
    </row>
    <row r="132" spans="1:3">
      <c r="A132" t="s">
        <v>259</v>
      </c>
      <c r="B132" t="s">
        <v>260</v>
      </c>
      <c r="C132" s="3" t="str">
        <f>IF(ISNUMBER(SEARCH([1]Veri_Girişi!$E$6,A130)),MAKS($B$1:B129)+1,"")</f>
        <v/>
      </c>
    </row>
    <row r="133" spans="1:3">
      <c r="A133" t="s">
        <v>261</v>
      </c>
      <c r="B133" t="s">
        <v>262</v>
      </c>
      <c r="C133" s="3" t="str">
        <f>IF(ISNUMBER(SEARCH([1]Veri_Girişi!$E$6,A131)),MAKS($B$1:B130)+1,"")</f>
        <v/>
      </c>
    </row>
    <row r="134" spans="1:3">
      <c r="A134" t="s">
        <v>263</v>
      </c>
      <c r="B134" t="s">
        <v>264</v>
      </c>
      <c r="C134" s="3" t="str">
        <f>IF(ISNUMBER(SEARCH([1]Veri_Girişi!$E$6,A132)),MAKS($B$1:B131)+1,"")</f>
        <v/>
      </c>
    </row>
    <row r="135" spans="1:3">
      <c r="A135" t="s">
        <v>265</v>
      </c>
      <c r="B135" t="s">
        <v>266</v>
      </c>
      <c r="C135" s="3" t="str">
        <f>IF(ISNUMBER(SEARCH([1]Veri_Girişi!$E$6,A133)),MAKS($B$1:B132)+1,"")</f>
        <v/>
      </c>
    </row>
    <row r="136" spans="1:3">
      <c r="A136" t="s">
        <v>267</v>
      </c>
      <c r="B136" t="s">
        <v>268</v>
      </c>
      <c r="C136" s="3" t="str">
        <f>IF(ISNUMBER(SEARCH([1]Veri_Girişi!$E$6,A134)),MAKS($B$1:B133)+1,"")</f>
        <v/>
      </c>
    </row>
    <row r="137" spans="1:3">
      <c r="A137" t="s">
        <v>269</v>
      </c>
      <c r="B137" t="s">
        <v>270</v>
      </c>
      <c r="C137" s="3" t="str">
        <f>IF(ISNUMBER(SEARCH([1]Veri_Girişi!$E$6,A135)),MAKS($B$1:B134)+1,"")</f>
        <v/>
      </c>
    </row>
    <row r="138" spans="1:3">
      <c r="A138" t="s">
        <v>271</v>
      </c>
      <c r="B138" t="s">
        <v>272</v>
      </c>
      <c r="C138" s="3" t="str">
        <f>IF(ISNUMBER(SEARCH([1]Veri_Girişi!$E$6,A136)),MAKS($B$1:B135)+1,"")</f>
        <v/>
      </c>
    </row>
    <row r="139" spans="1:3">
      <c r="A139" t="s">
        <v>273</v>
      </c>
      <c r="B139" t="s">
        <v>274</v>
      </c>
      <c r="C139" s="3" t="str">
        <f>IF(ISNUMBER(SEARCH([1]Veri_Girişi!$E$6,A137)),MAKS($B$1:B136)+1,"")</f>
        <v/>
      </c>
    </row>
    <row r="140" spans="1:3">
      <c r="A140" t="s">
        <v>275</v>
      </c>
      <c r="B140" t="s">
        <v>276</v>
      </c>
      <c r="C140" s="3" t="str">
        <f>IF(ISNUMBER(SEARCH([1]Veri_Girişi!$E$6,A138)),MAKS($B$1:B137)+1,"")</f>
        <v/>
      </c>
    </row>
    <row r="141" spans="1:3">
      <c r="A141" t="s">
        <v>277</v>
      </c>
      <c r="B141" t="s">
        <v>278</v>
      </c>
      <c r="C141" s="3" t="str">
        <f>IF(ISNUMBER(SEARCH([1]Veri_Girişi!$E$6,A139)),MAKS($B$1:B138)+1,"")</f>
        <v/>
      </c>
    </row>
    <row r="142" spans="1:3">
      <c r="A142" t="s">
        <v>279</v>
      </c>
      <c r="B142" t="s">
        <v>280</v>
      </c>
      <c r="C142" s="3" t="str">
        <f>IF(ISNUMBER(SEARCH([1]Veri_Girişi!$E$6,A140)),MAKS($B$1:B139)+1,"")</f>
        <v/>
      </c>
    </row>
    <row r="143" spans="1:3">
      <c r="A143" t="s">
        <v>281</v>
      </c>
      <c r="B143" t="s">
        <v>282</v>
      </c>
      <c r="C143" s="3" t="str">
        <f>IF(ISNUMBER(SEARCH([1]Veri_Girişi!$E$6,A141)),MAKS($B$1:B140)+1,"")</f>
        <v/>
      </c>
    </row>
    <row r="144" spans="1:3">
      <c r="A144" t="s">
        <v>283</v>
      </c>
      <c r="B144" t="s">
        <v>284</v>
      </c>
      <c r="C144" s="3" t="str">
        <f>IF(ISNUMBER(SEARCH([1]Veri_Girişi!$E$6,A142)),MAKS($B$1:B141)+1,"")</f>
        <v/>
      </c>
    </row>
    <row r="145" spans="1:3">
      <c r="A145" t="s">
        <v>285</v>
      </c>
      <c r="B145" t="s">
        <v>286</v>
      </c>
      <c r="C145" s="3" t="str">
        <f>IF(ISNUMBER(SEARCH([1]Veri_Girişi!$E$6,A143)),MAKS($B$1:B142)+1,"")</f>
        <v/>
      </c>
    </row>
    <row r="146" spans="1:3">
      <c r="A146" t="s">
        <v>287</v>
      </c>
      <c r="B146" t="s">
        <v>288</v>
      </c>
      <c r="C146" s="3" t="str">
        <f>IF(ISNUMBER(SEARCH([1]Veri_Girişi!$E$6,A144)),MAKS($B$1:B143)+1,"")</f>
        <v/>
      </c>
    </row>
    <row r="147" spans="1:3">
      <c r="A147" t="s">
        <v>289</v>
      </c>
      <c r="B147" t="s">
        <v>290</v>
      </c>
      <c r="C147" s="3" t="str">
        <f>IF(ISNUMBER(SEARCH([1]Veri_Girişi!$E$6,A145)),MAKS($B$1:B144)+1,"")</f>
        <v/>
      </c>
    </row>
    <row r="148" spans="1:3">
      <c r="A148" t="s">
        <v>291</v>
      </c>
      <c r="B148" t="s">
        <v>292</v>
      </c>
      <c r="C148" s="3" t="str">
        <f>IF(ISNUMBER(SEARCH([1]Veri_Girişi!$E$6,A146)),MAKS($B$1:B145)+1,"")</f>
        <v/>
      </c>
    </row>
    <row r="149" spans="1:3">
      <c r="A149" t="s">
        <v>293</v>
      </c>
      <c r="B149" t="s">
        <v>294</v>
      </c>
      <c r="C149" s="3" t="str">
        <f>IF(ISNUMBER(SEARCH([1]Veri_Girişi!$E$6,A147)),MAKS($B$1:B146)+1,"")</f>
        <v/>
      </c>
    </row>
    <row r="150" spans="1:3">
      <c r="A150" t="s">
        <v>295</v>
      </c>
      <c r="B150" t="s">
        <v>296</v>
      </c>
      <c r="C150" s="3" t="str">
        <f>IF(ISNUMBER(SEARCH([1]Veri_Girişi!$E$6,A148)),MAKS($B$1:B147)+1,"")</f>
        <v/>
      </c>
    </row>
    <row r="151" spans="1:3">
      <c r="A151" t="s">
        <v>297</v>
      </c>
      <c r="B151" t="s">
        <v>298</v>
      </c>
      <c r="C151" s="3" t="str">
        <f>IF(ISNUMBER(SEARCH([1]Veri_Girişi!$E$6,A149)),MAKS($B$1:B148)+1,"")</f>
        <v/>
      </c>
    </row>
    <row r="152" spans="1:3">
      <c r="A152" t="s">
        <v>299</v>
      </c>
      <c r="B152" t="s">
        <v>300</v>
      </c>
      <c r="C152" s="3" t="str">
        <f>IF(ISNUMBER(SEARCH([1]Veri_Girişi!$E$6,A150)),MAKS($B$1:B149)+1,"")</f>
        <v/>
      </c>
    </row>
    <row r="153" spans="1:3">
      <c r="A153" t="s">
        <v>301</v>
      </c>
      <c r="B153" t="s">
        <v>302</v>
      </c>
      <c r="C153" s="3" t="str">
        <f>IF(ISNUMBER(SEARCH([1]Veri_Girişi!$E$6,A151)),MAKS($B$1:B150)+1,"")</f>
        <v/>
      </c>
    </row>
    <row r="154" spans="1:3">
      <c r="A154" t="s">
        <v>303</v>
      </c>
      <c r="B154" t="s">
        <v>304</v>
      </c>
      <c r="C154" s="3" t="str">
        <f>IF(ISNUMBER(SEARCH([1]Veri_Girişi!$E$6,A152)),MAKS($B$1:B151)+1,"")</f>
        <v/>
      </c>
    </row>
    <row r="155" spans="1:3">
      <c r="A155" t="s">
        <v>305</v>
      </c>
      <c r="B155" t="s">
        <v>306</v>
      </c>
      <c r="C155" s="3" t="str">
        <f>IF(ISNUMBER(SEARCH([1]Veri_Girişi!$E$6,A153)),MAKS($B$1:B152)+1,"")</f>
        <v/>
      </c>
    </row>
    <row r="156" spans="1:3">
      <c r="A156" t="s">
        <v>307</v>
      </c>
      <c r="B156" t="s">
        <v>308</v>
      </c>
      <c r="C156" s="3" t="str">
        <f>IF(ISNUMBER(SEARCH([1]Veri_Girişi!$E$6,A154)),MAKS($B$1:B153)+1,"")</f>
        <v/>
      </c>
    </row>
    <row r="157" spans="1:3">
      <c r="A157" t="s">
        <v>309</v>
      </c>
      <c r="B157" t="s">
        <v>310</v>
      </c>
      <c r="C157" s="3" t="str">
        <f>IF(ISNUMBER(SEARCH([1]Veri_Girişi!$E$6,A155)),MAKS($B$1:B154)+1,"")</f>
        <v/>
      </c>
    </row>
    <row r="158" spans="1:3">
      <c r="A158" t="s">
        <v>311</v>
      </c>
      <c r="B158" t="s">
        <v>312</v>
      </c>
      <c r="C158" s="3" t="str">
        <f>IF(ISNUMBER(SEARCH([1]Veri_Girişi!$E$6,A156)),MAKS($B$1:B155)+1,"")</f>
        <v/>
      </c>
    </row>
    <row r="159" spans="1:3">
      <c r="A159" t="s">
        <v>313</v>
      </c>
      <c r="B159" t="s">
        <v>314</v>
      </c>
      <c r="C159" s="3" t="str">
        <f>IF(ISNUMBER(SEARCH([1]Veri_Girişi!$E$6,A157)),MAKS($B$1:B156)+1,"")</f>
        <v/>
      </c>
    </row>
    <row r="160" spans="1:3">
      <c r="A160" t="s">
        <v>315</v>
      </c>
      <c r="B160" t="s">
        <v>316</v>
      </c>
      <c r="C160" s="3" t="str">
        <f>IF(ISNUMBER(SEARCH([1]Veri_Girişi!$E$6,A158)),MAKS($B$1:B157)+1,"")</f>
        <v/>
      </c>
    </row>
    <row r="161" spans="1:3">
      <c r="A161" t="s">
        <v>317</v>
      </c>
      <c r="B161" t="s">
        <v>318</v>
      </c>
      <c r="C161" s="3" t="str">
        <f>IF(ISNUMBER(SEARCH([1]Veri_Girişi!$E$6,A159)),MAKS($B$1:B158)+1,"")</f>
        <v/>
      </c>
    </row>
    <row r="162" spans="1:3">
      <c r="A162" t="s">
        <v>319</v>
      </c>
      <c r="B162" t="s">
        <v>320</v>
      </c>
      <c r="C162" s="3" t="str">
        <f>IF(ISNUMBER(SEARCH([1]Veri_Girişi!$E$6,A160)),MAKS($B$1:B159)+1,"")</f>
        <v/>
      </c>
    </row>
    <row r="163" spans="1:3">
      <c r="A163" t="s">
        <v>321</v>
      </c>
      <c r="B163" t="s">
        <v>322</v>
      </c>
      <c r="C163" s="3" t="str">
        <f>IF(ISNUMBER(SEARCH([1]Veri_Girişi!$E$6,A161)),MAKS($B$1:B160)+1,"")</f>
        <v/>
      </c>
    </row>
    <row r="164" spans="1:3">
      <c r="A164" t="s">
        <v>323</v>
      </c>
      <c r="B164" t="s">
        <v>324</v>
      </c>
      <c r="C164" s="3" t="str">
        <f>IF(ISNUMBER(SEARCH([1]Veri_Girişi!$E$6,A162)),MAKS($B$1:B161)+1,"")</f>
        <v/>
      </c>
    </row>
    <row r="165" spans="1:3">
      <c r="A165" t="s">
        <v>325</v>
      </c>
      <c r="B165" t="s">
        <v>326</v>
      </c>
      <c r="C165" s="3" t="str">
        <f>IF(ISNUMBER(SEARCH([1]Veri_Girişi!$E$6,A163)),MAKS($B$1:B162)+1,"")</f>
        <v/>
      </c>
    </row>
    <row r="166" spans="1:3">
      <c r="A166" t="s">
        <v>327</v>
      </c>
      <c r="B166" t="s">
        <v>328</v>
      </c>
      <c r="C166" s="3" t="str">
        <f>IF(ISNUMBER(SEARCH([1]Veri_Girişi!$E$6,A164)),MAKS($B$1:B163)+1,"")</f>
        <v/>
      </c>
    </row>
    <row r="167" spans="1:3">
      <c r="A167" t="s">
        <v>329</v>
      </c>
      <c r="B167" t="s">
        <v>330</v>
      </c>
      <c r="C167" s="3" t="str">
        <f>IF(ISNUMBER(SEARCH([1]Veri_Girişi!$E$6,A165)),MAKS($B$1:B164)+1,"")</f>
        <v/>
      </c>
    </row>
    <row r="168" spans="1:3">
      <c r="A168" t="s">
        <v>331</v>
      </c>
      <c r="B168" t="s">
        <v>332</v>
      </c>
      <c r="C168" s="3" t="str">
        <f>IF(ISNUMBER(SEARCH([1]Veri_Girişi!$E$6,A166)),MAKS($B$1:B165)+1,"")</f>
        <v/>
      </c>
    </row>
    <row r="169" spans="1:3">
      <c r="A169" t="s">
        <v>333</v>
      </c>
      <c r="B169" t="s">
        <v>334</v>
      </c>
      <c r="C169" s="3" t="str">
        <f>IF(ISNUMBER(SEARCH([1]Veri_Girişi!$E$6,A167)),MAKS($B$1:B166)+1,"")</f>
        <v/>
      </c>
    </row>
    <row r="170" spans="1:3">
      <c r="A170" t="s">
        <v>335</v>
      </c>
      <c r="B170" t="s">
        <v>336</v>
      </c>
      <c r="C170" s="3" t="str">
        <f>IF(ISNUMBER(SEARCH([1]Veri_Girişi!$E$6,A168)),MAKS($B$1:B167)+1,"")</f>
        <v/>
      </c>
    </row>
    <row r="171" spans="1:3">
      <c r="A171" t="s">
        <v>337</v>
      </c>
      <c r="B171" t="s">
        <v>338</v>
      </c>
      <c r="C171" s="3" t="str">
        <f>IF(ISNUMBER(SEARCH([1]Veri_Girişi!$E$6,A169)),MAKS($B$1:B168)+1,"")</f>
        <v/>
      </c>
    </row>
    <row r="172" spans="1:3">
      <c r="A172" t="s">
        <v>339</v>
      </c>
      <c r="B172" t="s">
        <v>340</v>
      </c>
      <c r="C172" s="3" t="str">
        <f>IF(ISNUMBER(SEARCH([1]Veri_Girişi!$E$6,A170)),MAKS($B$1:B169)+1,"")</f>
        <v/>
      </c>
    </row>
    <row r="173" spans="1:3">
      <c r="A173" t="s">
        <v>341</v>
      </c>
      <c r="B173" t="s">
        <v>342</v>
      </c>
      <c r="C173" s="3" t="str">
        <f>IF(ISNUMBER(SEARCH([1]Veri_Girişi!$E$6,A171)),MAKS($B$1:B170)+1,"")</f>
        <v/>
      </c>
    </row>
    <row r="174" spans="1:3">
      <c r="A174" t="s">
        <v>343</v>
      </c>
      <c r="B174" t="s">
        <v>344</v>
      </c>
      <c r="C174" s="3" t="str">
        <f>IF(ISNUMBER(SEARCH([1]Veri_Girişi!$E$6,A172)),MAKS($B$1:B171)+1,"")</f>
        <v/>
      </c>
    </row>
    <row r="175" spans="1:3">
      <c r="A175" t="s">
        <v>345</v>
      </c>
      <c r="B175" t="s">
        <v>346</v>
      </c>
      <c r="C175" s="3" t="str">
        <f>IF(ISNUMBER(SEARCH([1]Veri_Girişi!$E$6,A173)),MAKS($B$1:B172)+1,"")</f>
        <v/>
      </c>
    </row>
    <row r="176" spans="1:3">
      <c r="A176" t="s">
        <v>347</v>
      </c>
      <c r="B176" t="s">
        <v>348</v>
      </c>
      <c r="C176" s="3" t="str">
        <f>IF(ISNUMBER(SEARCH([1]Veri_Girişi!$E$6,A174)),MAKS($B$1:B173)+1,"")</f>
        <v/>
      </c>
    </row>
    <row r="177" spans="1:3">
      <c r="A177" t="s">
        <v>349</v>
      </c>
      <c r="B177" t="s">
        <v>350</v>
      </c>
      <c r="C177" s="3" t="str">
        <f>IF(ISNUMBER(SEARCH([1]Veri_Girişi!$E$6,A175)),MAKS($B$1:B174)+1,"")</f>
        <v/>
      </c>
    </row>
    <row r="178" spans="1:3">
      <c r="A178" t="s">
        <v>351</v>
      </c>
      <c r="B178" t="s">
        <v>352</v>
      </c>
      <c r="C178" s="3" t="str">
        <f>IF(ISNUMBER(SEARCH([1]Veri_Girişi!$E$6,A176)),MAKS($B$1:B175)+1,"")</f>
        <v/>
      </c>
    </row>
    <row r="179" spans="1:3">
      <c r="A179" t="s">
        <v>353</v>
      </c>
      <c r="B179" t="s">
        <v>354</v>
      </c>
      <c r="C179" s="3" t="str">
        <f>IF(ISNUMBER(SEARCH([1]Veri_Girişi!$E$6,A177)),MAKS($B$1:B176)+1,"")</f>
        <v/>
      </c>
    </row>
    <row r="180" spans="1:3">
      <c r="A180" t="s">
        <v>355</v>
      </c>
      <c r="B180" t="s">
        <v>356</v>
      </c>
      <c r="C180" s="3" t="str">
        <f>IF(ISNUMBER(SEARCH([1]Veri_Girişi!$E$6,A178)),MAKS($B$1:B177)+1,"")</f>
        <v/>
      </c>
    </row>
    <row r="181" spans="1:3">
      <c r="A181" t="s">
        <v>357</v>
      </c>
      <c r="B181" t="s">
        <v>358</v>
      </c>
      <c r="C181" s="3" t="str">
        <f>IF(ISNUMBER(SEARCH([1]Veri_Girişi!$E$6,A179)),MAKS($B$1:B178)+1,"")</f>
        <v/>
      </c>
    </row>
    <row r="182" spans="1:3">
      <c r="A182" t="s">
        <v>359</v>
      </c>
      <c r="B182" t="s">
        <v>360</v>
      </c>
      <c r="C182" s="3" t="str">
        <f>IF(ISNUMBER(SEARCH([1]Veri_Girişi!$E$6,A180)),MAKS($B$1:B179)+1,"")</f>
        <v/>
      </c>
    </row>
    <row r="183" spans="1:3">
      <c r="A183" t="s">
        <v>361</v>
      </c>
      <c r="B183" t="s">
        <v>362</v>
      </c>
      <c r="C183" s="3" t="str">
        <f>IF(ISNUMBER(SEARCH([1]Veri_Girişi!$E$6,A181)),MAKS($B$1:B180)+1,"")</f>
        <v/>
      </c>
    </row>
    <row r="184" spans="1:3">
      <c r="A184" t="s">
        <v>363</v>
      </c>
      <c r="B184" t="s">
        <v>364</v>
      </c>
      <c r="C184" s="3" t="str">
        <f>IF(ISNUMBER(SEARCH([1]Veri_Girişi!$E$6,A182)),MAKS($B$1:B181)+1,"")</f>
        <v/>
      </c>
    </row>
    <row r="185" spans="1:3">
      <c r="A185" t="s">
        <v>365</v>
      </c>
      <c r="B185" t="s">
        <v>366</v>
      </c>
      <c r="C185" s="3" t="str">
        <f>IF(ISNUMBER(SEARCH([1]Veri_Girişi!$E$6,A183)),MAKS($B$1:B182)+1,"")</f>
        <v/>
      </c>
    </row>
    <row r="186" spans="1:3">
      <c r="A186" t="s">
        <v>367</v>
      </c>
      <c r="B186" t="s">
        <v>368</v>
      </c>
      <c r="C186" s="3" t="str">
        <f>IF(ISNUMBER(SEARCH([1]Veri_Girişi!$E$6,A184)),MAKS($B$1:B183)+1,"")</f>
        <v/>
      </c>
    </row>
    <row r="187" spans="1:3">
      <c r="A187" t="s">
        <v>369</v>
      </c>
      <c r="B187" t="s">
        <v>370</v>
      </c>
      <c r="C187" s="3" t="str">
        <f>IF(ISNUMBER(SEARCH([1]Veri_Girişi!$E$6,A185)),MAKS($B$1:B184)+1,"")</f>
        <v/>
      </c>
    </row>
    <row r="188" spans="1:3">
      <c r="A188" t="s">
        <v>371</v>
      </c>
      <c r="B188" t="s">
        <v>372</v>
      </c>
      <c r="C188" s="3" t="str">
        <f>IF(ISNUMBER(SEARCH([1]Veri_Girişi!$E$6,A186)),MAKS($B$1:B185)+1,"")</f>
        <v/>
      </c>
    </row>
    <row r="189" spans="1:3">
      <c r="A189" t="s">
        <v>373</v>
      </c>
      <c r="B189" t="s">
        <v>374</v>
      </c>
      <c r="C189" s="3" t="str">
        <f>IF(ISNUMBER(SEARCH([1]Veri_Girişi!$E$6,A187)),MAKS($B$1:B186)+1,"")</f>
        <v/>
      </c>
    </row>
    <row r="190" spans="1:3">
      <c r="A190" t="s">
        <v>375</v>
      </c>
      <c r="B190" t="s">
        <v>376</v>
      </c>
      <c r="C190" s="3" t="str">
        <f>IF(ISNUMBER(SEARCH([1]Veri_Girişi!$E$6,A188)),MAKS($B$1:B187)+1,"")</f>
        <v/>
      </c>
    </row>
    <row r="191" spans="1:3">
      <c r="A191" t="s">
        <v>377</v>
      </c>
      <c r="B191" t="s">
        <v>378</v>
      </c>
      <c r="C191" s="3" t="str">
        <f>IF(ISNUMBER(SEARCH([1]Veri_Girişi!$E$6,A189)),MAKS($B$1:B188)+1,"")</f>
        <v/>
      </c>
    </row>
    <row r="192" spans="1:3">
      <c r="A192" t="s">
        <v>379</v>
      </c>
      <c r="B192" t="s">
        <v>380</v>
      </c>
      <c r="C192" s="3" t="str">
        <f>IF(ISNUMBER(SEARCH([1]Veri_Girişi!$E$6,A190)),MAKS($B$1:B189)+1,"")</f>
        <v/>
      </c>
    </row>
    <row r="193" spans="1:3">
      <c r="A193" t="s">
        <v>381</v>
      </c>
      <c r="B193" t="s">
        <v>382</v>
      </c>
      <c r="C193" s="3" t="str">
        <f>IF(ISNUMBER(SEARCH([1]Veri_Girişi!$E$6,A191)),MAKS($B$1:B190)+1,"")</f>
        <v/>
      </c>
    </row>
    <row r="194" spans="1:3">
      <c r="A194" t="s">
        <v>383</v>
      </c>
      <c r="B194" t="s">
        <v>384</v>
      </c>
      <c r="C194" s="3" t="str">
        <f>IF(ISNUMBER(SEARCH([1]Veri_Girişi!$E$6,A192)),MAKS($B$1:B191)+1,"")</f>
        <v/>
      </c>
    </row>
    <row r="195" spans="1:3">
      <c r="A195" t="s">
        <v>385</v>
      </c>
      <c r="B195" t="s">
        <v>386</v>
      </c>
      <c r="C195" s="3" t="str">
        <f>IF(ISNUMBER(SEARCH([1]Veri_Girişi!$E$6,A193)),MAKS($B$1:B192)+1,"")</f>
        <v/>
      </c>
    </row>
    <row r="196" spans="1:3">
      <c r="A196" t="s">
        <v>387</v>
      </c>
      <c r="B196" t="s">
        <v>388</v>
      </c>
      <c r="C196" s="3" t="str">
        <f>IF(ISNUMBER(SEARCH([1]Veri_Girişi!$E$6,A194)),MAKS($B$1:B193)+1,"")</f>
        <v/>
      </c>
    </row>
    <row r="197" spans="1:3">
      <c r="A197" t="s">
        <v>389</v>
      </c>
      <c r="B197" t="s">
        <v>390</v>
      </c>
      <c r="C197" s="3" t="str">
        <f>IF(ISNUMBER(SEARCH([1]Veri_Girişi!$E$6,A195)),MAKS($B$1:B194)+1,"")</f>
        <v/>
      </c>
    </row>
    <row r="198" spans="1:3">
      <c r="A198" t="s">
        <v>391</v>
      </c>
      <c r="B198" t="s">
        <v>392</v>
      </c>
      <c r="C198" s="3" t="str">
        <f>IF(ISNUMBER(SEARCH([1]Veri_Girişi!$E$6,A196)),MAKS($B$1:B195)+1,"")</f>
        <v/>
      </c>
    </row>
    <row r="199" spans="1:3">
      <c r="A199" t="s">
        <v>393</v>
      </c>
      <c r="B199" t="s">
        <v>394</v>
      </c>
      <c r="C199" s="3" t="str">
        <f>IF(ISNUMBER(SEARCH([1]Veri_Girişi!$E$6,A197)),MAKS($B$1:B196)+1,"")</f>
        <v/>
      </c>
    </row>
    <row r="200" spans="1:3">
      <c r="A200" t="s">
        <v>395</v>
      </c>
      <c r="B200" t="s">
        <v>396</v>
      </c>
      <c r="C200" s="3" t="str">
        <f>IF(ISNUMBER(SEARCH([1]Veri_Girişi!$E$6,A198)),MAKS($B$1:B197)+1,"")</f>
        <v/>
      </c>
    </row>
    <row r="201" spans="1:3">
      <c r="A201" t="s">
        <v>397</v>
      </c>
      <c r="B201" t="s">
        <v>398</v>
      </c>
      <c r="C201" s="3" t="str">
        <f>IF(ISNUMBER(SEARCH([1]Veri_Girişi!$E$6,A199)),MAKS($B$1:B198)+1,"")</f>
        <v/>
      </c>
    </row>
    <row r="202" spans="1:3">
      <c r="A202" t="s">
        <v>399</v>
      </c>
      <c r="B202" t="s">
        <v>400</v>
      </c>
      <c r="C202" s="3" t="str">
        <f>IF(ISNUMBER(SEARCH([1]Veri_Girişi!$E$6,A200)),MAKS($B$1:B199)+1,"")</f>
        <v/>
      </c>
    </row>
    <row r="203" spans="1:3">
      <c r="A203" t="s">
        <v>401</v>
      </c>
      <c r="B203" t="s">
        <v>402</v>
      </c>
      <c r="C203" s="3" t="str">
        <f>IF(ISNUMBER(SEARCH([1]Veri_Girişi!$E$6,A201)),MAKS($B$1:B200)+1,"")</f>
        <v/>
      </c>
    </row>
    <row r="204" spans="1:3">
      <c r="A204" t="s">
        <v>403</v>
      </c>
      <c r="B204" t="s">
        <v>404</v>
      </c>
      <c r="C204" s="3" t="str">
        <f>IF(ISNUMBER(SEARCH([1]Veri_Girişi!$E$6,A202)),MAKS($B$1:B201)+1,"")</f>
        <v/>
      </c>
    </row>
    <row r="205" spans="1:3">
      <c r="A205" t="s">
        <v>405</v>
      </c>
      <c r="B205" t="s">
        <v>406</v>
      </c>
      <c r="C205" s="3" t="str">
        <f>IF(ISNUMBER(SEARCH([1]Veri_Girişi!$E$6,A203)),MAKS($B$1:B202)+1,"")</f>
        <v/>
      </c>
    </row>
    <row r="206" spans="1:3">
      <c r="A206" t="s">
        <v>407</v>
      </c>
      <c r="B206" t="s">
        <v>408</v>
      </c>
      <c r="C206" s="3" t="str">
        <f>IF(ISNUMBER(SEARCH([1]Veri_Girişi!$E$6,A204)),MAKS($B$1:B203)+1,"")</f>
        <v/>
      </c>
    </row>
    <row r="207" spans="1:3">
      <c r="A207" t="s">
        <v>409</v>
      </c>
      <c r="B207" t="s">
        <v>410</v>
      </c>
      <c r="C207" s="3" t="str">
        <f>IF(ISNUMBER(SEARCH([1]Veri_Girişi!$E$6,A205)),MAKS($B$1:B204)+1,"")</f>
        <v/>
      </c>
    </row>
    <row r="208" spans="1:3">
      <c r="A208" t="s">
        <v>411</v>
      </c>
      <c r="B208" t="s">
        <v>412</v>
      </c>
      <c r="C208" s="3" t="str">
        <f>IF(ISNUMBER(SEARCH([1]Veri_Girişi!$E$6,A206)),MAKS($B$1:B205)+1,"")</f>
        <v/>
      </c>
    </row>
    <row r="209" spans="1:3">
      <c r="A209" t="s">
        <v>413</v>
      </c>
      <c r="B209" t="s">
        <v>414</v>
      </c>
      <c r="C209" s="3" t="str">
        <f>IF(ISNUMBER(SEARCH([1]Veri_Girişi!$E$6,A207)),MAKS($B$1:B206)+1,"")</f>
        <v/>
      </c>
    </row>
    <row r="210" spans="1:3">
      <c r="A210" t="s">
        <v>415</v>
      </c>
      <c r="B210" t="s">
        <v>416</v>
      </c>
      <c r="C210" s="3" t="str">
        <f>IF(ISNUMBER(SEARCH([1]Veri_Girişi!$E$6,A208)),MAKS($B$1:B207)+1,"")</f>
        <v/>
      </c>
    </row>
    <row r="211" spans="1:3">
      <c r="A211" t="s">
        <v>417</v>
      </c>
      <c r="B211" t="s">
        <v>418</v>
      </c>
      <c r="C211" s="3" t="str">
        <f>IF(ISNUMBER(SEARCH([1]Veri_Girişi!$E$6,A209)),MAKS($B$1:B208)+1,"")</f>
        <v/>
      </c>
    </row>
    <row r="212" spans="1:3">
      <c r="A212" t="s">
        <v>419</v>
      </c>
      <c r="B212" t="s">
        <v>420</v>
      </c>
      <c r="C212" s="3" t="str">
        <f>IF(ISNUMBER(SEARCH([1]Veri_Girişi!$E$6,A210)),MAKS($B$1:B209)+1,"")</f>
        <v/>
      </c>
    </row>
    <row r="213" spans="1:3">
      <c r="A213" t="s">
        <v>421</v>
      </c>
      <c r="B213" t="s">
        <v>422</v>
      </c>
      <c r="C213" s="3" t="str">
        <f>IF(ISNUMBER(SEARCH([1]Veri_Girişi!$E$6,A211)),MAKS($B$1:B210)+1,"")</f>
        <v/>
      </c>
    </row>
    <row r="214" spans="1:3">
      <c r="A214" t="s">
        <v>423</v>
      </c>
      <c r="B214" t="s">
        <v>424</v>
      </c>
      <c r="C214" s="3" t="str">
        <f>IF(ISNUMBER(SEARCH([1]Veri_Girişi!$E$6,A212)),MAKS($B$1:B211)+1,"")</f>
        <v/>
      </c>
    </row>
    <row r="215" spans="1:3">
      <c r="A215" t="s">
        <v>425</v>
      </c>
      <c r="B215" t="s">
        <v>426</v>
      </c>
      <c r="C215" s="3" t="str">
        <f>IF(ISNUMBER(SEARCH([1]Veri_Girişi!$E$6,A213)),MAKS($B$1:B212)+1,"")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2026-05-17T15:19:01Z</dcterms:created>
  <dcterms:modified xsi:type="dcterms:W3CDTF">2026-05-17T15:19:52Z</dcterms:modified>
</cp:coreProperties>
</file>