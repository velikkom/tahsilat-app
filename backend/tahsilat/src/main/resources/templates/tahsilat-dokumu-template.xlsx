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grams\tahsilat-app\backend\tahsilat\src\main\resources\templates\"/>
    </mc:Choice>
  </mc:AlternateContent>
  <xr:revisionPtr revIDLastSave="0" documentId="8_{9B8F90F6-671E-4917-A100-DC82F13C0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N" sheetId="2" r:id="rId1"/>
    <sheet name="ARK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D27" i="2"/>
  <c r="B14" i="2"/>
  <c r="E17" i="2" s="1"/>
  <c r="H7" i="2"/>
  <c r="H6" i="2"/>
  <c r="C5" i="2"/>
  <c r="D5" i="2" s="1"/>
  <c r="E5" i="2" s="1"/>
  <c r="F5" i="2" s="1"/>
  <c r="G5" i="2" s="1"/>
  <c r="B23" i="2" l="1"/>
  <c r="B22" i="2"/>
  <c r="O35" i="1"/>
  <c r="B24" i="2" s="1"/>
  <c r="B21" i="2"/>
  <c r="M35" i="1"/>
  <c r="B20" i="2" s="1"/>
  <c r="J35" i="1"/>
  <c r="H35" i="1"/>
  <c r="G35" i="1"/>
  <c r="B17" i="2" s="1"/>
  <c r="E16" i="2" s="1"/>
  <c r="B25" i="2" l="1"/>
  <c r="B26" i="2" s="1"/>
  <c r="B27" i="2" s="1"/>
  <c r="E19" i="2" s="1"/>
  <c r="E22" i="2" s="1"/>
  <c r="D26" i="2" s="1"/>
  <c r="F28" i="2"/>
  <c r="B18" i="2"/>
  <c r="F27" i="2"/>
  <c r="B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G13" authorId="0" shapeId="0" xr:uid="{D2C6713C-E3DE-4CF9-92BC-C73839729A22}">
      <text>
        <r>
          <rPr>
            <b/>
            <sz val="9"/>
            <color indexed="81"/>
            <rFont val="Tahoma"/>
            <family val="2"/>
            <charset val="162"/>
          </rPr>
          <t>hp:</t>
        </r>
        <r>
          <rPr>
            <sz val="9"/>
            <color indexed="81"/>
            <rFont val="Tahoma"/>
            <family val="2"/>
            <charset val="162"/>
          </rPr>
          <t xml:space="preserve">
KM. BAŞINA DÜŞEN YAKIT</t>
        </r>
      </text>
    </comment>
  </commentList>
</comments>
</file>

<file path=xl/sharedStrings.xml><?xml version="1.0" encoding="utf-8"?>
<sst xmlns="http://schemas.openxmlformats.org/spreadsheetml/2006/main" count="84" uniqueCount="73">
  <si>
    <t>TAHSİLAT DÖKÜMÜDÜR</t>
  </si>
  <si>
    <t xml:space="preserve">                              </t>
  </si>
  <si>
    <t xml:space="preserve">                                                               </t>
  </si>
  <si>
    <t>SIRA NO</t>
  </si>
  <si>
    <t>TAHSİLAT MAKBUZ NO</t>
  </si>
  <si>
    <t>MİKRO KAY.NO:</t>
  </si>
  <si>
    <t>ÜNVANI</t>
  </si>
  <si>
    <t>TARİH</t>
  </si>
  <si>
    <t>NAKİT</t>
  </si>
  <si>
    <t>SENET</t>
  </si>
  <si>
    <t>ÇEK</t>
  </si>
  <si>
    <t>HAVALE</t>
  </si>
  <si>
    <t>POS</t>
  </si>
  <si>
    <t>SR.</t>
  </si>
  <si>
    <t>NO</t>
  </si>
  <si>
    <t>TUTARI</t>
  </si>
  <si>
    <t>VADE TARİHİ</t>
  </si>
  <si>
    <t>BANKA ADI</t>
  </si>
  <si>
    <t>VADE</t>
  </si>
  <si>
    <t>FİRMA</t>
  </si>
  <si>
    <t>TUTAR</t>
  </si>
  <si>
    <t>BANKA</t>
  </si>
  <si>
    <t>YKB</t>
  </si>
  <si>
    <t>TEB</t>
  </si>
  <si>
    <t>GENEL TOPLAM</t>
  </si>
  <si>
    <t>MAİLORDER / KREDİ KARTI</t>
  </si>
  <si>
    <t>DENOTO KOLL.ŞTİ.AİT SATIŞ PERSONELİ HARCAMA DÖKÜMANIDIR</t>
  </si>
  <si>
    <t>ÖNEMLİ NOT:BU BELGENİN SATICI İLE ŞİRKET-ŞİRKET İLE SATIŞ PERSONELİ  ARASINDAKİ ANLAŞMAZLIKLARDA DELİL OLARAK KULLANILACAĞINI PEŞİN OLARAK KABUL EDERİM.</t>
  </si>
  <si>
    <t>DENİZLİ ÇIKIŞ KM.</t>
  </si>
  <si>
    <t>ÇIKIŞ YAKIT TUTARI</t>
  </si>
  <si>
    <t>SEY.ALINAN YAKIT</t>
  </si>
  <si>
    <t>DENİZLİ GİRİŞ KM.</t>
  </si>
  <si>
    <t>TOPLAM KM</t>
  </si>
  <si>
    <t>TOPL.YAKIT TUTARI</t>
  </si>
  <si>
    <t>ONAY</t>
  </si>
  <si>
    <t>TOPLAM</t>
  </si>
  <si>
    <t>YEMEK BEDELİ</t>
  </si>
  <si>
    <t xml:space="preserve">                            TUTAR            OTEL İSMİ / FATURA NO</t>
  </si>
  <si>
    <t xml:space="preserve">           TUTAR                        AL.FİRMA / FATURA NO</t>
  </si>
  <si>
    <t>TUTAR                                                   FİRMA /  AÇIKLAMA</t>
  </si>
  <si>
    <t>AKŞAM OTELE GİRİŞ KM.</t>
  </si>
  <si>
    <t>SATIŞ PERSONELİ</t>
  </si>
  <si>
    <t>PLAKA</t>
  </si>
  <si>
    <t>TAHSİLAT DÖKÜMÜ</t>
  </si>
  <si>
    <t>PİRİMDEN DÜŞÜLECEK TAHSİLAT</t>
  </si>
  <si>
    <t>NAKİT TAHSİLAT TOPLAMI</t>
  </si>
  <si>
    <t>NAKİT           TAHSİLAT TOPLAMI</t>
  </si>
  <si>
    <t>MASRAF TOPLAMI</t>
  </si>
  <si>
    <t>SENET           TAHSİLAT TOPLAMI</t>
  </si>
  <si>
    <t>ALDIĞI HAFTALIK</t>
  </si>
  <si>
    <t>ÇEK               TAHSİLAT TOPLAMI</t>
  </si>
  <si>
    <t>ALDIĞI PRİM</t>
  </si>
  <si>
    <t>MAİLORDER</t>
  </si>
  <si>
    <t>FAZLADAN ALDIĞI</t>
  </si>
  <si>
    <t>ALDIĞI AGİ</t>
  </si>
  <si>
    <t>KREDİ KARTI /    YKB TAHS.TOP.</t>
  </si>
  <si>
    <t>KALAN NAKİT</t>
  </si>
  <si>
    <t>KREDİ KARTI /    TEB TAHS.TOP.</t>
  </si>
  <si>
    <t>İMZASI</t>
  </si>
  <si>
    <t>HAVALE         TAHSİLAT TOPLAMI</t>
  </si>
  <si>
    <t xml:space="preserve">GENEL  TOPLAM </t>
  </si>
  <si>
    <t>EVRAK / NAKİT / TESLİM EDEN / TESLİM ALAN MİKTAR VE TUTARLARI</t>
  </si>
  <si>
    <t>PRİM HAKEDİŞ                 MATRAHI</t>
  </si>
  <si>
    <t>NAKİT TESLİM ALINAN</t>
  </si>
  <si>
    <t>TESLİM EDEN / MUHASEBE ONAY</t>
  </si>
  <si>
    <t>TESLİM ALAN OLCAY CANDOĞAN ONAY</t>
  </si>
  <si>
    <t>%1 ALDIĞI PRİM              TUTARI</t>
  </si>
  <si>
    <t>ÇEK / TESLİM ALINAN</t>
  </si>
  <si>
    <t>ALDIĞI AVANS                  TUTARI</t>
  </si>
  <si>
    <t>SENET / TESLİM ALINAN</t>
  </si>
  <si>
    <t>TESLİM EDEN / ADI SOYADI / İMZA</t>
  </si>
  <si>
    <t xml:space="preserve">                  </t>
  </si>
  <si>
    <t xml:space="preserve">SATIŞ PERSONELİ'NİN ADI / SOYADI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</si>
</sst>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&quot;₺&quot;"/>
    <numFmt numFmtId="165" formatCode="#,##0\ &quot;₺&quot;"/>
    <numFmt numFmtId="166" formatCode="#,##0\ \K\M\."/>
    <numFmt numFmtId="167" formatCode="#,##0.00\ \K\M\."/>
    <numFmt numFmtId="168" formatCode="#,##0.00\ &quot;₺&quot;;[Red]\-#,##0.00\ &quot;₺&quot;"/>
    <numFmt numFmtId="169" formatCode="#,##0\ &quot;ADET&quot;"/>
  </numFmts>
  <fonts count="2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5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5"/>
      <color rgb="FFFFFF00"/>
      <name val="Calibri"/>
      <family val="2"/>
      <charset val="162"/>
      <scheme val="minor"/>
    </font>
    <font>
      <b/>
      <sz val="13"/>
      <color rgb="FFFF000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2"/>
      <color rgb="FF00B050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ashed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7" fillId="0" borderId="14" xfId="0" applyFont="1" applyBorder="1"/>
    <xf numFmtId="14" fontId="0" fillId="0" borderId="14" xfId="0" applyNumberFormat="1" applyBorder="1"/>
    <xf numFmtId="164" fontId="0" fillId="0" borderId="14" xfId="0" applyNumberFormat="1" applyBorder="1"/>
    <xf numFmtId="14" fontId="0" fillId="0" borderId="15" xfId="0" applyNumberFormat="1" applyBorder="1"/>
    <xf numFmtId="164" fontId="0" fillId="0" borderId="16" xfId="0" applyNumberFormat="1" applyBorder="1"/>
    <xf numFmtId="0" fontId="8" fillId="0" borderId="15" xfId="0" applyFont="1" applyBorder="1"/>
    <xf numFmtId="0" fontId="0" fillId="0" borderId="17" xfId="0" applyBorder="1"/>
    <xf numFmtId="164" fontId="0" fillId="0" borderId="15" xfId="0" applyNumberFormat="1" applyBorder="1"/>
    <xf numFmtId="0" fontId="0" fillId="0" borderId="18" xfId="0" applyBorder="1"/>
    <xf numFmtId="164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7" fillId="0" borderId="20" xfId="0" applyFont="1" applyBorder="1"/>
    <xf numFmtId="14" fontId="0" fillId="0" borderId="20" xfId="0" applyNumberFormat="1" applyBorder="1"/>
    <xf numFmtId="164" fontId="0" fillId="0" borderId="20" xfId="0" applyNumberFormat="1" applyBorder="1"/>
    <xf numFmtId="164" fontId="0" fillId="0" borderId="22" xfId="0" applyNumberFormat="1" applyBorder="1"/>
    <xf numFmtId="0" fontId="8" fillId="0" borderId="21" xfId="0" applyFont="1" applyBorder="1"/>
    <xf numFmtId="14" fontId="0" fillId="0" borderId="23" xfId="0" applyNumberFormat="1" applyBorder="1"/>
    <xf numFmtId="164" fontId="0" fillId="0" borderId="21" xfId="0" applyNumberFormat="1" applyBorder="1"/>
    <xf numFmtId="0" fontId="0" fillId="0" borderId="24" xfId="0" applyBorder="1"/>
    <xf numFmtId="14" fontId="7" fillId="0" borderId="21" xfId="0" applyNumberFormat="1" applyFont="1" applyBorder="1"/>
    <xf numFmtId="0" fontId="0" fillId="0" borderId="23" xfId="0" applyBorder="1"/>
    <xf numFmtId="14" fontId="0" fillId="0" borderId="21" xfId="0" applyNumberFormat="1" applyBorder="1"/>
    <xf numFmtId="0" fontId="10" fillId="2" borderId="20" xfId="0" applyFont="1" applyFill="1" applyBorder="1" applyAlignment="1">
      <alignment horizontal="right" vertical="center"/>
    </xf>
    <xf numFmtId="165" fontId="10" fillId="2" borderId="20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shrinkToFi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9" fillId="2" borderId="21" xfId="0" applyFont="1" applyFill="1" applyBorder="1" applyAlignment="1">
      <alignment horizontal="right" vertical="center" wrapText="1"/>
    </xf>
    <xf numFmtId="0" fontId="9" fillId="2" borderId="24" xfId="0" applyFont="1" applyFill="1" applyBorder="1" applyAlignment="1">
      <alignment horizontal="right" vertical="center" wrapText="1"/>
    </xf>
    <xf numFmtId="0" fontId="9" fillId="2" borderId="25" xfId="0" applyFont="1" applyFill="1" applyBorder="1" applyAlignment="1">
      <alignment horizontal="right" vertical="center" wrapText="1"/>
    </xf>
    <xf numFmtId="165" fontId="10" fillId="2" borderId="21" xfId="0" applyNumberFormat="1" applyFont="1" applyFill="1" applyBorder="1" applyAlignment="1">
      <alignment horizontal="center" vertical="center"/>
    </xf>
    <xf numFmtId="165" fontId="10" fillId="2" borderId="25" xfId="0" applyNumberFormat="1" applyFont="1" applyFill="1" applyBorder="1" applyAlignment="1">
      <alignment horizontal="center" vertical="center"/>
    </xf>
    <xf numFmtId="165" fontId="10" fillId="2" borderId="24" xfId="0" applyNumberFormat="1" applyFont="1" applyFill="1" applyBorder="1" applyAlignment="1">
      <alignment horizontal="center" vertical="center"/>
    </xf>
    <xf numFmtId="0" fontId="7" fillId="0" borderId="0" xfId="0" applyFont="1"/>
    <xf numFmtId="0" fontId="12" fillId="3" borderId="20" xfId="0" applyFont="1" applyFill="1" applyBorder="1" applyAlignment="1">
      <alignment horizontal="center"/>
    </xf>
    <xf numFmtId="166" fontId="11" fillId="3" borderId="20" xfId="0" applyNumberFormat="1" applyFont="1" applyFill="1" applyBorder="1"/>
    <xf numFmtId="14" fontId="13" fillId="2" borderId="20" xfId="0" applyNumberFormat="1" applyFont="1" applyFill="1" applyBorder="1"/>
    <xf numFmtId="0" fontId="1" fillId="0" borderId="20" xfId="0" applyFont="1" applyBorder="1"/>
    <xf numFmtId="164" fontId="14" fillId="2" borderId="20" xfId="0" applyNumberFormat="1" applyFont="1" applyFill="1" applyBorder="1"/>
    <xf numFmtId="0" fontId="1" fillId="0" borderId="26" xfId="0" applyFont="1" applyBorder="1" applyAlignment="1">
      <alignment horizontal="right" vertical="center" wrapText="1"/>
    </xf>
    <xf numFmtId="164" fontId="0" fillId="0" borderId="27" xfId="0" applyNumberFormat="1" applyBorder="1"/>
    <xf numFmtId="164" fontId="14" fillId="2" borderId="26" xfId="0" applyNumberFormat="1" applyFont="1" applyFill="1" applyBorder="1" applyAlignment="1">
      <alignment horizontal="right" vertical="center" wrapText="1"/>
    </xf>
    <xf numFmtId="0" fontId="1" fillId="0" borderId="14" xfId="0" applyFont="1" applyBorder="1" applyAlignment="1">
      <alignment horizontal="right" vertical="center" wrapText="1"/>
    </xf>
    <xf numFmtId="164" fontId="14" fillId="2" borderId="14" xfId="0" applyNumberFormat="1" applyFont="1" applyFill="1" applyBorder="1" applyAlignment="1">
      <alignment horizontal="right" vertical="center" wrapText="1"/>
    </xf>
    <xf numFmtId="166" fontId="0" fillId="0" borderId="20" xfId="0" applyNumberFormat="1" applyBorder="1"/>
    <xf numFmtId="167" fontId="0" fillId="0" borderId="20" xfId="0" applyNumberFormat="1" applyBorder="1"/>
    <xf numFmtId="164" fontId="13" fillId="0" borderId="20" xfId="0" applyNumberFormat="1" applyFont="1" applyBorder="1"/>
    <xf numFmtId="164" fontId="15" fillId="4" borderId="20" xfId="0" applyNumberFormat="1" applyFont="1" applyFill="1" applyBorder="1"/>
    <xf numFmtId="14" fontId="4" fillId="5" borderId="0" xfId="0" applyNumberFormat="1" applyFont="1" applyFill="1"/>
    <xf numFmtId="0" fontId="4" fillId="5" borderId="2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2" fontId="1" fillId="0" borderId="31" xfId="0" applyNumberFormat="1" applyFont="1" applyBorder="1" applyAlignment="1">
      <alignment horizontal="center" vertical="center" wrapText="1"/>
    </xf>
    <xf numFmtId="0" fontId="7" fillId="0" borderId="32" xfId="0" applyFont="1" applyBorder="1"/>
    <xf numFmtId="164" fontId="2" fillId="0" borderId="31" xfId="0" applyNumberFormat="1" applyFont="1" applyBorder="1"/>
    <xf numFmtId="0" fontId="7" fillId="0" borderId="33" xfId="0" applyFont="1" applyBorder="1"/>
    <xf numFmtId="164" fontId="16" fillId="6" borderId="14" xfId="0" applyNumberFormat="1" applyFont="1" applyFill="1" applyBorder="1"/>
    <xf numFmtId="4" fontId="10" fillId="6" borderId="34" xfId="0" applyNumberFormat="1" applyFont="1" applyFill="1" applyBorder="1"/>
    <xf numFmtId="164" fontId="2" fillId="0" borderId="34" xfId="0" applyNumberFormat="1" applyFont="1" applyBorder="1"/>
    <xf numFmtId="164" fontId="16" fillId="6" borderId="20" xfId="0" applyNumberFormat="1" applyFont="1" applyFill="1" applyBorder="1"/>
    <xf numFmtId="168" fontId="2" fillId="0" borderId="34" xfId="0" applyNumberFormat="1" applyFont="1" applyBorder="1"/>
    <xf numFmtId="0" fontId="7" fillId="0" borderId="35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center"/>
    </xf>
    <xf numFmtId="0" fontId="7" fillId="0" borderId="37" xfId="0" applyFont="1" applyBorder="1"/>
    <xf numFmtId="164" fontId="16" fillId="6" borderId="38" xfId="0" applyNumberFormat="1" applyFont="1" applyFill="1" applyBorder="1"/>
    <xf numFmtId="4" fontId="10" fillId="6" borderId="39" xfId="0" applyNumberFormat="1" applyFont="1" applyFill="1" applyBorder="1"/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center"/>
    </xf>
    <xf numFmtId="164" fontId="14" fillId="0" borderId="15" xfId="0" applyNumberFormat="1" applyFont="1" applyBorder="1"/>
    <xf numFmtId="0" fontId="17" fillId="0" borderId="42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43" xfId="0" applyFont="1" applyBorder="1" applyAlignment="1">
      <alignment horizontal="center"/>
    </xf>
    <xf numFmtId="0" fontId="17" fillId="0" borderId="43" xfId="0" applyFont="1" applyBorder="1"/>
    <xf numFmtId="0" fontId="17" fillId="0" borderId="44" xfId="0" applyFont="1" applyBorder="1"/>
    <xf numFmtId="164" fontId="14" fillId="0" borderId="20" xfId="0" applyNumberFormat="1" applyFont="1" applyBorder="1"/>
    <xf numFmtId="0" fontId="5" fillId="0" borderId="14" xfId="0" applyFont="1" applyBorder="1" applyAlignment="1">
      <alignment vertical="center" wrapText="1"/>
    </xf>
    <xf numFmtId="168" fontId="1" fillId="0" borderId="14" xfId="0" applyNumberFormat="1" applyFont="1" applyBorder="1"/>
    <xf numFmtId="0" fontId="2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169" fontId="4" fillId="0" borderId="20" xfId="0" applyNumberFormat="1" applyFont="1" applyBorder="1" applyAlignment="1">
      <alignment vertical="center"/>
    </xf>
    <xf numFmtId="14" fontId="1" fillId="0" borderId="20" xfId="0" applyNumberFormat="1" applyFont="1" applyBorder="1" applyAlignment="1">
      <alignment vertical="center" wrapText="1"/>
    </xf>
    <xf numFmtId="164" fontId="1" fillId="0" borderId="20" xfId="0" applyNumberFormat="1" applyFont="1" applyBorder="1" applyAlignment="1">
      <alignment vertical="center"/>
    </xf>
    <xf numFmtId="0" fontId="0" fillId="0" borderId="20" xfId="0" applyBorder="1" applyAlignment="1">
      <alignment vertical="center"/>
    </xf>
    <xf numFmtId="0" fontId="7" fillId="0" borderId="21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1" fillId="0" borderId="20" xfId="0" applyFont="1" applyBorder="1" applyAlignment="1">
      <alignment horizontal="right" vertical="center" wrapText="1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9524</xdr:rowOff>
    </xdr:from>
    <xdr:ext cx="311496" cy="596052"/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BCEDE800-E9CF-4F57-8834-AD51623B37DB}"/>
            </a:ext>
          </a:extLst>
        </xdr:cNvPr>
        <xdr:cNvSpPr/>
      </xdr:nvSpPr>
      <xdr:spPr>
        <a:xfrm rot="16200000">
          <a:off x="-142278" y="1500542"/>
          <a:ext cx="596052" cy="311496"/>
        </a:xfrm>
        <a:prstGeom prst="rect">
          <a:avLst/>
        </a:prstGeom>
        <a:noFill/>
        <a:ln w="12700">
          <a:solidFill>
            <a:schemeClr val="accent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tr-TR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OTEL</a:t>
          </a:r>
        </a:p>
      </xdr:txBody>
    </xdr:sp>
    <xdr:clientData/>
  </xdr:oneCellAnchor>
  <xdr:oneCellAnchor>
    <xdr:from>
      <xdr:col>0</xdr:col>
      <xdr:colOff>12629</xdr:colOff>
      <xdr:row>8</xdr:row>
      <xdr:rowOff>9524</xdr:rowOff>
    </xdr:from>
    <xdr:ext cx="295850" cy="596052"/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CA71FEAB-448C-432B-A148-CC3F91E51D12}"/>
            </a:ext>
          </a:extLst>
        </xdr:cNvPr>
        <xdr:cNvSpPr/>
      </xdr:nvSpPr>
      <xdr:spPr>
        <a:xfrm rot="16200000">
          <a:off x="-137472" y="2117965"/>
          <a:ext cx="596052" cy="295850"/>
        </a:xfrm>
        <a:prstGeom prst="rect">
          <a:avLst/>
        </a:prstGeom>
        <a:noFill/>
        <a:ln w="12700">
          <a:solidFill>
            <a:schemeClr val="accent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tr-TR" sz="13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YAKIT</a:t>
          </a:r>
        </a:p>
      </xdr:txBody>
    </xdr:sp>
    <xdr:clientData/>
  </xdr:oneCellAnchor>
  <xdr:oneCellAnchor>
    <xdr:from>
      <xdr:col>0</xdr:col>
      <xdr:colOff>2</xdr:colOff>
      <xdr:row>10</xdr:row>
      <xdr:rowOff>0</xdr:rowOff>
    </xdr:from>
    <xdr:ext cx="304802" cy="596052"/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E6456D42-7478-4276-80B9-2B31FF97D520}"/>
            </a:ext>
          </a:extLst>
        </xdr:cNvPr>
        <xdr:cNvSpPr/>
      </xdr:nvSpPr>
      <xdr:spPr>
        <a:xfrm rot="16200000">
          <a:off x="-145623" y="2713565"/>
          <a:ext cx="596052" cy="304802"/>
        </a:xfrm>
        <a:prstGeom prst="rect">
          <a:avLst/>
        </a:prstGeom>
        <a:noFill/>
        <a:ln w="12700">
          <a:solidFill>
            <a:schemeClr val="accent1"/>
          </a:solidFill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tr-TR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DİĞER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E8DD-6D38-411C-9DD6-7B01E850E1CC}">
  <dimension ref="A1:H30"/>
  <sheetViews>
    <sheetView tabSelected="1" zoomScaleNormal="100" workbookViewId="0"/>
  </sheetViews>
  <sheetFormatPr defaultRowHeight="14.4" x14ac:dyDescent="0.3"/>
  <cols>
    <col min="1" max="1" width="26.44140625" customWidth="1"/>
    <col min="2" max="2" width="15.88671875" customWidth="1"/>
    <col min="3" max="3" width="17" customWidth="1"/>
    <col min="4" max="4" width="20.44140625" customWidth="1"/>
    <col min="5" max="5" width="16.109375" customWidth="1"/>
    <col min="6" max="6" width="14.5546875" customWidth="1"/>
    <col min="7" max="7" width="17.88671875" customWidth="1"/>
    <col min="8" max="8" width="19" customWidth="1"/>
  </cols>
  <sheetData>
    <row r="1" spans="1:8" x14ac:dyDescent="0.3">
      <c r="C1" t="s">
        <v>26</v>
      </c>
    </row>
    <row r="2" spans="1:8" x14ac:dyDescent="0.3">
      <c r="A2" s="67" t="s">
        <v>27</v>
      </c>
    </row>
    <row r="3" spans="1:8" x14ac:dyDescent="0.3">
      <c r="A3" s="33"/>
      <c r="B3" s="33" t="s">
        <v>28</v>
      </c>
      <c r="C3" s="33" t="s">
        <v>29</v>
      </c>
      <c r="D3" s="33" t="s">
        <v>30</v>
      </c>
      <c r="E3" s="33" t="s">
        <v>31</v>
      </c>
      <c r="F3" s="33" t="s">
        <v>32</v>
      </c>
      <c r="G3" s="33" t="s">
        <v>33</v>
      </c>
      <c r="H3" s="33" t="s">
        <v>34</v>
      </c>
    </row>
    <row r="4" spans="1:8" ht="18" customHeight="1" x14ac:dyDescent="0.4">
      <c r="A4" s="68"/>
      <c r="B4" s="69"/>
      <c r="C4" s="33"/>
      <c r="D4" s="33"/>
      <c r="E4" s="33"/>
      <c r="F4" s="33"/>
      <c r="G4" s="33"/>
      <c r="H4" s="33"/>
    </row>
    <row r="5" spans="1:8" ht="21" customHeight="1" x14ac:dyDescent="0.35">
      <c r="A5" s="33" t="s">
        <v>7</v>
      </c>
      <c r="B5" s="70"/>
      <c r="C5" s="70">
        <f>B5+1</f>
        <v>1</v>
      </c>
      <c r="D5" s="70">
        <f>C5+1</f>
        <v>2</v>
      </c>
      <c r="E5" s="70">
        <f>D5+1</f>
        <v>3</v>
      </c>
      <c r="F5" s="70">
        <f>E5+1</f>
        <v>4</v>
      </c>
      <c r="G5" s="70">
        <f>F5+1</f>
        <v>5</v>
      </c>
      <c r="H5" s="33" t="s">
        <v>35</v>
      </c>
    </row>
    <row r="6" spans="1:8" ht="24" customHeight="1" x14ac:dyDescent="0.3">
      <c r="A6" s="71" t="s">
        <v>36</v>
      </c>
      <c r="B6" s="38"/>
      <c r="C6" s="38"/>
      <c r="D6" s="38"/>
      <c r="E6" s="38"/>
      <c r="F6" s="38"/>
      <c r="G6" s="38"/>
      <c r="H6" s="72">
        <f>SUM(B6:G6)</f>
        <v>0</v>
      </c>
    </row>
    <row r="7" spans="1:8" ht="24" customHeight="1" x14ac:dyDescent="0.3">
      <c r="A7" s="73" t="s">
        <v>37</v>
      </c>
      <c r="B7" s="74"/>
      <c r="C7" s="74"/>
      <c r="D7" s="74"/>
      <c r="E7" s="74"/>
      <c r="F7" s="74"/>
      <c r="G7" s="74"/>
      <c r="H7" s="75">
        <f t="shared" ref="H7:H14" si="0">SUM(B7:G7)</f>
        <v>0</v>
      </c>
    </row>
    <row r="8" spans="1:8" ht="24" customHeight="1" x14ac:dyDescent="0.3">
      <c r="A8" s="76"/>
      <c r="B8" s="25"/>
      <c r="C8" s="25"/>
      <c r="D8" s="25"/>
      <c r="E8" s="25"/>
      <c r="F8" s="25"/>
      <c r="G8" s="25"/>
      <c r="H8" s="77"/>
    </row>
    <row r="9" spans="1:8" ht="24" customHeight="1" x14ac:dyDescent="0.3">
      <c r="A9" s="73" t="s">
        <v>38</v>
      </c>
      <c r="B9" s="74"/>
      <c r="C9" s="74"/>
      <c r="D9" s="74"/>
      <c r="E9" s="74"/>
      <c r="F9" s="74"/>
      <c r="G9" s="74"/>
      <c r="H9" s="75"/>
    </row>
    <row r="10" spans="1:8" ht="24" customHeight="1" x14ac:dyDescent="0.3">
      <c r="A10" s="76"/>
      <c r="B10" s="25"/>
      <c r="C10" s="25"/>
      <c r="D10" s="25"/>
      <c r="E10" s="25"/>
      <c r="F10" s="25"/>
      <c r="G10" s="25"/>
      <c r="H10" s="77"/>
    </row>
    <row r="11" spans="1:8" ht="24" customHeight="1" x14ac:dyDescent="0.3">
      <c r="A11" s="73" t="s">
        <v>39</v>
      </c>
      <c r="B11" s="38"/>
      <c r="C11" s="38"/>
      <c r="D11" s="38"/>
      <c r="E11" s="38"/>
      <c r="F11" s="38"/>
      <c r="G11" s="38"/>
      <c r="H11" s="75"/>
    </row>
    <row r="12" spans="1:8" ht="24" customHeight="1" x14ac:dyDescent="0.3">
      <c r="A12" s="76"/>
      <c r="B12" s="38"/>
      <c r="C12" s="38"/>
      <c r="D12" s="38"/>
      <c r="E12" s="38"/>
      <c r="F12" s="38"/>
      <c r="G12" s="38"/>
      <c r="H12" s="77"/>
    </row>
    <row r="13" spans="1:8" ht="24" customHeight="1" x14ac:dyDescent="0.3">
      <c r="A13" s="33" t="s">
        <v>40</v>
      </c>
      <c r="B13" s="78"/>
      <c r="C13" s="78"/>
      <c r="D13" s="78"/>
      <c r="E13" s="78"/>
      <c r="F13" s="79"/>
      <c r="G13" s="38"/>
      <c r="H13" s="72"/>
    </row>
    <row r="14" spans="1:8" ht="25.65" customHeight="1" x14ac:dyDescent="0.35">
      <c r="A14" s="33" t="s">
        <v>35</v>
      </c>
      <c r="B14" s="80">
        <f t="shared" ref="B14:G14" si="1">B6+B7+B9+B11</f>
        <v>0</v>
      </c>
      <c r="C14" s="80"/>
      <c r="D14" s="80"/>
      <c r="E14" s="80"/>
      <c r="F14" s="80"/>
      <c r="G14" s="80"/>
      <c r="H14" s="81"/>
    </row>
    <row r="15" spans="1:8" ht="18.600000000000001" thickBot="1" x14ac:dyDescent="0.4">
      <c r="A15" t="s">
        <v>7</v>
      </c>
      <c r="B15" s="82"/>
      <c r="C15" t="s">
        <v>41</v>
      </c>
      <c r="D15" s="83"/>
      <c r="E15" s="83"/>
      <c r="F15" s="84" t="s">
        <v>42</v>
      </c>
      <c r="G15" s="83"/>
      <c r="H15" s="83"/>
    </row>
    <row r="16" spans="1:8" ht="42" customHeight="1" thickTop="1" x14ac:dyDescent="0.3">
      <c r="A16" s="85" t="s">
        <v>43</v>
      </c>
      <c r="B16" s="86"/>
      <c r="C16" s="87" t="s">
        <v>44</v>
      </c>
      <c r="D16" s="88" t="s">
        <v>45</v>
      </c>
      <c r="E16" s="89">
        <f>B17</f>
        <v>0</v>
      </c>
    </row>
    <row r="17" spans="1:8" ht="20.85" customHeight="1" x14ac:dyDescent="0.3">
      <c r="A17" s="90" t="s">
        <v>46</v>
      </c>
      <c r="B17" s="91">
        <f>ARKA!G35</f>
        <v>0</v>
      </c>
      <c r="C17" s="92"/>
      <c r="D17" s="90" t="s">
        <v>47</v>
      </c>
      <c r="E17" s="93">
        <f>H14</f>
        <v>0</v>
      </c>
    </row>
    <row r="18" spans="1:8" ht="20.85" customHeight="1" x14ac:dyDescent="0.3">
      <c r="A18" s="90" t="s">
        <v>48</v>
      </c>
      <c r="B18" s="94">
        <f>ARKA!H35</f>
        <v>0</v>
      </c>
      <c r="C18" s="92"/>
      <c r="D18" s="90" t="s">
        <v>49</v>
      </c>
      <c r="E18" s="93"/>
    </row>
    <row r="19" spans="1:8" ht="20.85" customHeight="1" x14ac:dyDescent="0.3">
      <c r="A19" s="90" t="s">
        <v>50</v>
      </c>
      <c r="B19" s="94">
        <f>ARKA!J35</f>
        <v>0</v>
      </c>
      <c r="C19" s="92"/>
      <c r="D19" s="90" t="s">
        <v>51</v>
      </c>
      <c r="E19" s="93">
        <f>B27</f>
        <v>0</v>
      </c>
    </row>
    <row r="20" spans="1:8" ht="20.85" customHeight="1" x14ac:dyDescent="0.3">
      <c r="A20" s="90" t="s">
        <v>52</v>
      </c>
      <c r="B20" s="94">
        <f>ARKA!M35</f>
        <v>0</v>
      </c>
      <c r="C20" s="92"/>
      <c r="D20" s="90" t="s">
        <v>53</v>
      </c>
      <c r="E20" s="93"/>
    </row>
    <row r="21" spans="1:8" ht="20.85" customHeight="1" x14ac:dyDescent="0.3">
      <c r="A21" s="90" t="s">
        <v>52</v>
      </c>
      <c r="B21" s="94">
        <f>ARKA!N35</f>
        <v>0</v>
      </c>
      <c r="C21" s="92"/>
      <c r="D21" s="90" t="s">
        <v>54</v>
      </c>
      <c r="E21" s="93"/>
    </row>
    <row r="22" spans="1:8" ht="20.85" customHeight="1" x14ac:dyDescent="0.3">
      <c r="A22" s="90" t="s">
        <v>55</v>
      </c>
      <c r="B22" s="94">
        <f>ARKA!Q35</f>
        <v>0</v>
      </c>
      <c r="C22" s="92"/>
      <c r="D22" s="90" t="s">
        <v>56</v>
      </c>
      <c r="E22" s="95">
        <f>E16-E17-E18-E19-E20-E21</f>
        <v>0</v>
      </c>
    </row>
    <row r="23" spans="1:8" ht="20.85" customHeight="1" x14ac:dyDescent="0.3">
      <c r="A23" s="90" t="s">
        <v>57</v>
      </c>
      <c r="B23" s="94">
        <f>ARKA!R35</f>
        <v>0</v>
      </c>
      <c r="C23" s="92"/>
      <c r="D23" s="96" t="s">
        <v>58</v>
      </c>
      <c r="E23" s="97"/>
    </row>
    <row r="24" spans="1:8" ht="20.85" customHeight="1" thickBot="1" x14ac:dyDescent="0.35">
      <c r="A24" s="98" t="s">
        <v>59</v>
      </c>
      <c r="B24" s="99">
        <f>ARKA!O35</f>
        <v>0</v>
      </c>
      <c r="C24" s="100"/>
      <c r="D24" s="101"/>
      <c r="E24" s="102"/>
    </row>
    <row r="25" spans="1:8" ht="20.85" customHeight="1" thickTop="1" thickBot="1" x14ac:dyDescent="0.35">
      <c r="A25" s="23" t="s">
        <v>60</v>
      </c>
      <c r="B25" s="103">
        <f>SUM(B17:B24)</f>
        <v>0</v>
      </c>
      <c r="C25" s="104" t="s">
        <v>61</v>
      </c>
      <c r="D25" s="105"/>
      <c r="E25" s="105"/>
      <c r="F25" s="106"/>
      <c r="G25" s="107"/>
      <c r="H25" s="108"/>
    </row>
    <row r="26" spans="1:8" ht="35.25" customHeight="1" x14ac:dyDescent="0.3">
      <c r="A26" s="36" t="s">
        <v>62</v>
      </c>
      <c r="B26" s="109">
        <f>B25-SUM(C17:C24)</f>
        <v>0</v>
      </c>
      <c r="C26" s="110" t="s">
        <v>63</v>
      </c>
      <c r="D26" s="111">
        <f>E22</f>
        <v>0</v>
      </c>
      <c r="E26" s="112"/>
      <c r="F26" s="20"/>
      <c r="G26" s="113" t="s">
        <v>64</v>
      </c>
      <c r="H26" s="114" t="s">
        <v>65</v>
      </c>
    </row>
    <row r="27" spans="1:8" ht="35.25" customHeight="1" x14ac:dyDescent="0.3">
      <c r="A27" s="36" t="s">
        <v>66</v>
      </c>
      <c r="B27" s="109">
        <f>B26/1.2*1%</f>
        <v>0</v>
      </c>
      <c r="C27" s="115" t="s">
        <v>67</v>
      </c>
      <c r="D27" s="116">
        <f>COUNTA(ARKA!J5:J34)</f>
        <v>0</v>
      </c>
      <c r="E27" s="117" t="s">
        <v>20</v>
      </c>
      <c r="F27" s="118">
        <f>ARKA!J35</f>
        <v>0</v>
      </c>
      <c r="G27" s="33"/>
      <c r="H27" s="33"/>
    </row>
    <row r="28" spans="1:8" ht="27.6" x14ac:dyDescent="0.3">
      <c r="A28" s="36" t="s">
        <v>68</v>
      </c>
      <c r="B28" s="36"/>
      <c r="C28" s="115" t="s">
        <v>69</v>
      </c>
      <c r="D28" s="116">
        <f>COUNTA(ARKA!I5:I34)</f>
        <v>0</v>
      </c>
      <c r="E28" s="119" t="s">
        <v>20</v>
      </c>
      <c r="F28" s="118">
        <f>ARKA!H35</f>
        <v>0</v>
      </c>
      <c r="G28" s="33"/>
      <c r="H28" s="33"/>
    </row>
    <row r="29" spans="1:8" ht="35.1" customHeight="1" x14ac:dyDescent="0.3">
      <c r="A29" s="115" t="s">
        <v>70</v>
      </c>
      <c r="B29" s="120"/>
      <c r="C29" s="121"/>
      <c r="D29" s="122" t="s">
        <v>58</v>
      </c>
      <c r="E29" s="123"/>
      <c r="F29" s="124"/>
      <c r="G29" s="33"/>
      <c r="H29" s="33"/>
    </row>
    <row r="30" spans="1:8" x14ac:dyDescent="0.3">
      <c r="A30" t="s">
        <v>71</v>
      </c>
    </row>
  </sheetData>
  <mergeCells count="14">
    <mergeCell ref="B29:C29"/>
    <mergeCell ref="E29:F29"/>
    <mergeCell ref="D15:E15"/>
    <mergeCell ref="G15:H15"/>
    <mergeCell ref="A16:B16"/>
    <mergeCell ref="D23:D24"/>
    <mergeCell ref="E23:E24"/>
    <mergeCell ref="C25:F25"/>
    <mergeCell ref="A7:A8"/>
    <mergeCell ref="H7:H8"/>
    <mergeCell ref="A9:A10"/>
    <mergeCell ref="H9:H10"/>
    <mergeCell ref="A11:A12"/>
    <mergeCell ref="H11:H12"/>
  </mergeCells>
  <pageMargins left="0.19685039370078741" right="0.19685039370078741" top="0.19685039370078741" bottom="0.19685039370078741" header="0.31496062992125984" footer="0.31496062992125984"/>
  <pageSetup paperSize="9" scale="96" orientation="landscape" horizontalDpi="120" verticalDpi="72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view="pageBreakPreview" topLeftCell="A6" zoomScaleNormal="100" zoomScaleSheetLayoutView="100" workbookViewId="0">
      <selection activeCell="N8" sqref="N8"/>
    </sheetView>
  </sheetViews>
  <sheetFormatPr defaultRowHeight="14.4" x14ac:dyDescent="0.3"/>
  <cols>
    <col min="1" max="1" width="3.33203125" customWidth="1"/>
    <col min="2" max="2" width="6.6640625" customWidth="1"/>
    <col min="3" max="3" width="3.6640625" customWidth="1"/>
    <col min="4" max="4" width="6.6640625" customWidth="1"/>
    <col min="5" max="5" width="29.88671875" customWidth="1"/>
    <col min="6" max="7" width="11.6640625" customWidth="1"/>
    <col min="8" max="8" width="10.6640625" customWidth="1"/>
    <col min="9" max="9" width="11.6640625" customWidth="1"/>
    <col min="10" max="11" width="10.44140625" customWidth="1"/>
    <col min="12" max="12" width="13.6640625" customWidth="1"/>
    <col min="13" max="16" width="12.6640625" customWidth="1"/>
    <col min="17" max="18" width="9.6640625" customWidth="1"/>
  </cols>
  <sheetData>
    <row r="1" spans="1:18" s="1" customFormat="1" ht="23.4" x14ac:dyDescent="0.45">
      <c r="B1" s="2"/>
      <c r="C1" s="2"/>
      <c r="D1" s="2"/>
      <c r="E1" s="2" t="s">
        <v>0</v>
      </c>
      <c r="F1" s="2"/>
      <c r="G1" s="2"/>
      <c r="I1" s="3"/>
      <c r="J1" s="4"/>
      <c r="K1" s="4"/>
      <c r="L1" s="4"/>
      <c r="M1" s="5" t="s">
        <v>1</v>
      </c>
      <c r="N1" s="5" t="s">
        <v>2</v>
      </c>
      <c r="O1" s="5"/>
      <c r="P1" s="5"/>
      <c r="Q1" s="6"/>
    </row>
    <row r="2" spans="1:18" s="7" customFormat="1" ht="30.75" customHeight="1" thickBot="1" x14ac:dyDescent="0.4">
      <c r="A2" s="49" t="s">
        <v>72</v>
      </c>
      <c r="B2" s="49"/>
      <c r="C2" s="49"/>
      <c r="D2" s="49"/>
      <c r="E2" s="49"/>
      <c r="F2" s="49"/>
      <c r="G2" s="49"/>
      <c r="H2" s="49"/>
      <c r="I2" s="49"/>
      <c r="J2" s="49"/>
      <c r="N2" s="50"/>
      <c r="O2" s="50"/>
      <c r="R2" s="4"/>
    </row>
    <row r="3" spans="1:18" ht="27" customHeight="1" x14ac:dyDescent="0.3">
      <c r="A3" s="51" t="s">
        <v>3</v>
      </c>
      <c r="B3" s="51" t="s">
        <v>4</v>
      </c>
      <c r="C3" s="53" t="s">
        <v>5</v>
      </c>
      <c r="D3" s="54"/>
      <c r="E3" s="55" t="s">
        <v>6</v>
      </c>
      <c r="F3" s="55" t="s">
        <v>7</v>
      </c>
      <c r="G3" s="8" t="s">
        <v>8</v>
      </c>
      <c r="H3" s="57" t="s">
        <v>9</v>
      </c>
      <c r="I3" s="57"/>
      <c r="J3" s="57" t="s">
        <v>10</v>
      </c>
      <c r="K3" s="57"/>
      <c r="L3" s="57"/>
      <c r="M3" s="58" t="s">
        <v>25</v>
      </c>
      <c r="N3" s="58"/>
      <c r="O3" s="59" t="s">
        <v>11</v>
      </c>
      <c r="P3" s="60"/>
      <c r="Q3" s="8" t="s">
        <v>12</v>
      </c>
      <c r="R3" s="8" t="s">
        <v>12</v>
      </c>
    </row>
    <row r="4" spans="1:18" ht="20.25" customHeight="1" thickBot="1" x14ac:dyDescent="0.35">
      <c r="A4" s="52"/>
      <c r="B4" s="52"/>
      <c r="C4" s="9" t="s">
        <v>13</v>
      </c>
      <c r="D4" s="10" t="s">
        <v>14</v>
      </c>
      <c r="E4" s="56"/>
      <c r="F4" s="56"/>
      <c r="G4" s="11" t="s">
        <v>15</v>
      </c>
      <c r="H4" s="12" t="s">
        <v>16</v>
      </c>
      <c r="I4" s="13" t="s">
        <v>15</v>
      </c>
      <c r="J4" s="14" t="s">
        <v>17</v>
      </c>
      <c r="K4" s="15" t="s">
        <v>18</v>
      </c>
      <c r="L4" s="16" t="s">
        <v>15</v>
      </c>
      <c r="M4" s="12" t="s">
        <v>19</v>
      </c>
      <c r="N4" s="13" t="s">
        <v>20</v>
      </c>
      <c r="O4" s="17" t="s">
        <v>21</v>
      </c>
      <c r="P4" s="18" t="s">
        <v>15</v>
      </c>
      <c r="Q4" s="19" t="s">
        <v>22</v>
      </c>
      <c r="R4" s="19" t="s">
        <v>23</v>
      </c>
    </row>
    <row r="5" spans="1:18" ht="21.9" customHeight="1" x14ac:dyDescent="0.3">
      <c r="A5" s="20">
        <v>1</v>
      </c>
      <c r="B5" s="20"/>
      <c r="C5" s="21"/>
      <c r="D5" s="22"/>
      <c r="E5" s="23"/>
      <c r="F5" s="24"/>
      <c r="G5" s="25"/>
      <c r="H5" s="26"/>
      <c r="I5" s="27"/>
      <c r="J5" s="28"/>
      <c r="K5" s="29"/>
      <c r="L5" s="27"/>
      <c r="M5" s="30"/>
      <c r="N5" s="27"/>
      <c r="O5" s="31"/>
      <c r="P5" s="32"/>
      <c r="Q5" s="25"/>
      <c r="R5" s="25"/>
    </row>
    <row r="6" spans="1:18" ht="21.9" customHeight="1" x14ac:dyDescent="0.3">
      <c r="A6" s="33">
        <v>2</v>
      </c>
      <c r="B6" s="33"/>
      <c r="C6" s="34"/>
      <c r="D6" s="35"/>
      <c r="E6" s="36"/>
      <c r="F6" s="37"/>
      <c r="G6" s="38"/>
      <c r="H6" s="34"/>
      <c r="I6" s="39"/>
      <c r="J6" s="40"/>
      <c r="K6" s="41"/>
      <c r="L6" s="39"/>
      <c r="M6" s="42"/>
      <c r="N6" s="39"/>
      <c r="O6" s="43"/>
      <c r="P6" s="39"/>
      <c r="Q6" s="38"/>
      <c r="R6" s="38"/>
    </row>
    <row r="7" spans="1:18" ht="21.9" customHeight="1" x14ac:dyDescent="0.3">
      <c r="A7" s="33">
        <v>3</v>
      </c>
      <c r="B7" s="33"/>
      <c r="C7" s="34"/>
      <c r="D7" s="35"/>
      <c r="E7" s="36"/>
      <c r="F7" s="37"/>
      <c r="G7" s="38"/>
      <c r="H7" s="44"/>
      <c r="I7" s="39"/>
      <c r="J7" s="40"/>
      <c r="K7" s="41"/>
      <c r="L7" s="39"/>
      <c r="M7" s="42"/>
      <c r="N7" s="39"/>
      <c r="O7" s="43"/>
      <c r="P7" s="39"/>
      <c r="Q7" s="38"/>
      <c r="R7" s="38"/>
    </row>
    <row r="8" spans="1:18" ht="21.9" customHeight="1" x14ac:dyDescent="0.3">
      <c r="A8" s="33">
        <v>4</v>
      </c>
      <c r="B8" s="33"/>
      <c r="C8" s="34"/>
      <c r="D8" s="35"/>
      <c r="E8" s="36"/>
      <c r="F8" s="37"/>
      <c r="G8" s="38"/>
      <c r="H8" s="44"/>
      <c r="I8" s="39"/>
      <c r="J8" s="40"/>
      <c r="K8" s="45"/>
      <c r="L8" s="39"/>
      <c r="M8" s="42"/>
      <c r="N8" s="39"/>
      <c r="O8" s="43"/>
      <c r="P8" s="39"/>
      <c r="Q8" s="38"/>
      <c r="R8" s="38"/>
    </row>
    <row r="9" spans="1:18" ht="21.9" customHeight="1" x14ac:dyDescent="0.3">
      <c r="A9" s="33">
        <v>5</v>
      </c>
      <c r="B9" s="33"/>
      <c r="C9" s="34"/>
      <c r="D9" s="35"/>
      <c r="E9" s="36"/>
      <c r="F9" s="37"/>
      <c r="G9" s="38"/>
      <c r="H9" s="44"/>
      <c r="I9" s="39"/>
      <c r="J9" s="40"/>
      <c r="K9" s="45"/>
      <c r="L9" s="39"/>
      <c r="M9" s="42"/>
      <c r="N9" s="39"/>
      <c r="O9" s="43"/>
      <c r="P9" s="39"/>
      <c r="Q9" s="38"/>
      <c r="R9" s="38"/>
    </row>
    <row r="10" spans="1:18" ht="21.9" customHeight="1" x14ac:dyDescent="0.3">
      <c r="A10" s="33">
        <v>6</v>
      </c>
      <c r="B10" s="33"/>
      <c r="C10" s="34"/>
      <c r="D10" s="35"/>
      <c r="E10" s="36"/>
      <c r="F10" s="37"/>
      <c r="G10" s="38"/>
      <c r="H10" s="44"/>
      <c r="I10" s="39"/>
      <c r="J10" s="40"/>
      <c r="K10" s="45"/>
      <c r="L10" s="39"/>
      <c r="M10" s="42"/>
      <c r="N10" s="39"/>
      <c r="O10" s="43"/>
      <c r="P10" s="39"/>
      <c r="Q10" s="38"/>
      <c r="R10" s="38"/>
    </row>
    <row r="11" spans="1:18" ht="21.9" customHeight="1" x14ac:dyDescent="0.3">
      <c r="A11" s="33">
        <v>7</v>
      </c>
      <c r="B11" s="33"/>
      <c r="C11" s="34"/>
      <c r="D11" s="35"/>
      <c r="E11" s="36"/>
      <c r="F11" s="37"/>
      <c r="G11" s="38"/>
      <c r="H11" s="44"/>
      <c r="I11" s="39"/>
      <c r="J11" s="40"/>
      <c r="K11" s="41"/>
      <c r="L11" s="39"/>
      <c r="M11" s="42"/>
      <c r="N11" s="39"/>
      <c r="O11" s="43"/>
      <c r="P11" s="39"/>
      <c r="Q11" s="38"/>
      <c r="R11" s="38"/>
    </row>
    <row r="12" spans="1:18" ht="21.9" customHeight="1" x14ac:dyDescent="0.3">
      <c r="A12" s="33">
        <v>8</v>
      </c>
      <c r="B12" s="33"/>
      <c r="C12" s="34"/>
      <c r="D12" s="35"/>
      <c r="E12" s="36"/>
      <c r="F12" s="37"/>
      <c r="G12" s="38"/>
      <c r="H12" s="46"/>
      <c r="I12" s="39"/>
      <c r="J12" s="40"/>
      <c r="K12" s="41"/>
      <c r="L12" s="39"/>
      <c r="M12" s="42"/>
      <c r="N12" s="39"/>
      <c r="O12" s="43"/>
      <c r="P12" s="39"/>
      <c r="Q12" s="38"/>
      <c r="R12" s="38"/>
    </row>
    <row r="13" spans="1:18" ht="21.9" customHeight="1" x14ac:dyDescent="0.3">
      <c r="A13" s="33">
        <v>9</v>
      </c>
      <c r="B13" s="33"/>
      <c r="C13" s="34"/>
      <c r="D13" s="35"/>
      <c r="E13" s="36"/>
      <c r="F13" s="37"/>
      <c r="G13" s="38"/>
      <c r="H13" s="46"/>
      <c r="I13" s="39"/>
      <c r="J13" s="40"/>
      <c r="K13" s="45"/>
      <c r="L13" s="39"/>
      <c r="M13" s="42"/>
      <c r="N13" s="39"/>
      <c r="O13" s="43"/>
      <c r="P13" s="39"/>
      <c r="Q13" s="38"/>
      <c r="R13" s="38"/>
    </row>
    <row r="14" spans="1:18" ht="21.9" customHeight="1" x14ac:dyDescent="0.3">
      <c r="A14" s="33">
        <v>10</v>
      </c>
      <c r="B14" s="33"/>
      <c r="C14" s="34"/>
      <c r="D14" s="35"/>
      <c r="E14" s="36"/>
      <c r="F14" s="37"/>
      <c r="G14" s="38"/>
      <c r="H14" s="46"/>
      <c r="I14" s="39"/>
      <c r="J14" s="40"/>
      <c r="K14" s="41"/>
      <c r="L14" s="39"/>
      <c r="M14" s="42"/>
      <c r="N14" s="39"/>
      <c r="O14" s="43"/>
      <c r="P14" s="39"/>
      <c r="Q14" s="38"/>
      <c r="R14" s="38"/>
    </row>
    <row r="15" spans="1:18" ht="21.9" customHeight="1" x14ac:dyDescent="0.3">
      <c r="A15" s="33">
        <v>11</v>
      </c>
      <c r="B15" s="33"/>
      <c r="C15" s="34"/>
      <c r="D15" s="35"/>
      <c r="E15" s="36"/>
      <c r="F15" s="37"/>
      <c r="G15" s="38"/>
      <c r="H15" s="46"/>
      <c r="I15" s="39"/>
      <c r="J15" s="40"/>
      <c r="K15" s="41"/>
      <c r="L15" s="39"/>
      <c r="M15" s="42"/>
      <c r="N15" s="39"/>
      <c r="O15" s="43"/>
      <c r="P15" s="39"/>
      <c r="Q15" s="38"/>
      <c r="R15" s="38"/>
    </row>
    <row r="16" spans="1:18" ht="21.9" customHeight="1" x14ac:dyDescent="0.3">
      <c r="A16" s="33">
        <v>12</v>
      </c>
      <c r="B16" s="33"/>
      <c r="C16" s="34"/>
      <c r="D16" s="35"/>
      <c r="E16" s="36"/>
      <c r="F16" s="37"/>
      <c r="G16" s="38"/>
      <c r="H16" s="46"/>
      <c r="I16" s="39"/>
      <c r="J16" s="40"/>
      <c r="K16" s="45"/>
      <c r="L16" s="39"/>
      <c r="M16" s="42"/>
      <c r="N16" s="39"/>
      <c r="O16" s="43"/>
      <c r="P16" s="39"/>
      <c r="Q16" s="38"/>
      <c r="R16" s="38"/>
    </row>
    <row r="17" spans="1:18" ht="21.9" customHeight="1" x14ac:dyDescent="0.3">
      <c r="A17" s="33">
        <v>13</v>
      </c>
      <c r="B17" s="33"/>
      <c r="C17" s="34"/>
      <c r="D17" s="35"/>
      <c r="E17" s="36"/>
      <c r="F17" s="37"/>
      <c r="G17" s="38"/>
      <c r="H17" s="46"/>
      <c r="I17" s="39"/>
      <c r="J17" s="40"/>
      <c r="K17" s="45"/>
      <c r="L17" s="39"/>
      <c r="M17" s="42"/>
      <c r="N17" s="39"/>
      <c r="O17" s="43"/>
      <c r="P17" s="39"/>
      <c r="Q17" s="38"/>
      <c r="R17" s="38"/>
    </row>
    <row r="18" spans="1:18" ht="21.9" customHeight="1" x14ac:dyDescent="0.3">
      <c r="A18" s="33">
        <v>14</v>
      </c>
      <c r="B18" s="33"/>
      <c r="C18" s="34"/>
      <c r="D18" s="35"/>
      <c r="E18" s="36"/>
      <c r="F18" s="37"/>
      <c r="G18" s="38"/>
      <c r="H18" s="46"/>
      <c r="I18" s="39"/>
      <c r="J18" s="40"/>
      <c r="K18" s="45"/>
      <c r="L18" s="39"/>
      <c r="M18" s="42"/>
      <c r="N18" s="39"/>
      <c r="O18" s="43"/>
      <c r="P18" s="39"/>
      <c r="Q18" s="38"/>
      <c r="R18" s="38"/>
    </row>
    <row r="19" spans="1:18" ht="21.9" customHeight="1" x14ac:dyDescent="0.3">
      <c r="A19" s="33">
        <v>15</v>
      </c>
      <c r="B19" s="33"/>
      <c r="C19" s="34"/>
      <c r="D19" s="35"/>
      <c r="E19" s="36"/>
      <c r="F19" s="37"/>
      <c r="G19" s="38"/>
      <c r="H19" s="46"/>
      <c r="I19" s="39"/>
      <c r="J19" s="40"/>
      <c r="K19" s="45"/>
      <c r="L19" s="39"/>
      <c r="M19" s="42"/>
      <c r="N19" s="39"/>
      <c r="O19" s="43"/>
      <c r="P19" s="39"/>
      <c r="Q19" s="38"/>
      <c r="R19" s="38"/>
    </row>
    <row r="20" spans="1:18" ht="21.9" customHeight="1" x14ac:dyDescent="0.3">
      <c r="A20" s="33">
        <v>16</v>
      </c>
      <c r="B20" s="33"/>
      <c r="C20" s="34"/>
      <c r="D20" s="35"/>
      <c r="E20" s="36"/>
      <c r="F20" s="37"/>
      <c r="G20" s="38"/>
      <c r="H20" s="46"/>
      <c r="I20" s="39"/>
      <c r="J20" s="40"/>
      <c r="K20" s="45"/>
      <c r="L20" s="39"/>
      <c r="M20" s="42"/>
      <c r="N20" s="39"/>
      <c r="O20" s="43"/>
      <c r="P20" s="39"/>
      <c r="Q20" s="38"/>
      <c r="R20" s="38"/>
    </row>
    <row r="21" spans="1:18" ht="21.9" customHeight="1" x14ac:dyDescent="0.3">
      <c r="A21" s="33">
        <v>17</v>
      </c>
      <c r="B21" s="33"/>
      <c r="C21" s="34"/>
      <c r="D21" s="35"/>
      <c r="E21" s="36"/>
      <c r="F21" s="37"/>
      <c r="G21" s="38"/>
      <c r="H21" s="46"/>
      <c r="I21" s="39"/>
      <c r="J21" s="40"/>
      <c r="K21" s="45"/>
      <c r="L21" s="39"/>
      <c r="M21" s="42"/>
      <c r="N21" s="39"/>
      <c r="O21" s="43"/>
      <c r="P21" s="39"/>
      <c r="Q21" s="38"/>
      <c r="R21" s="38"/>
    </row>
    <row r="22" spans="1:18" ht="21.9" customHeight="1" x14ac:dyDescent="0.3">
      <c r="A22" s="33">
        <v>18</v>
      </c>
      <c r="B22" s="33"/>
      <c r="C22" s="34"/>
      <c r="D22" s="35"/>
      <c r="E22" s="36"/>
      <c r="F22" s="37"/>
      <c r="G22" s="38"/>
      <c r="H22" s="34"/>
      <c r="I22" s="39"/>
      <c r="J22" s="40"/>
      <c r="K22" s="45"/>
      <c r="L22" s="39"/>
      <c r="M22" s="42"/>
      <c r="N22" s="39"/>
      <c r="O22" s="43"/>
      <c r="P22" s="39"/>
      <c r="Q22" s="38"/>
      <c r="R22" s="38"/>
    </row>
    <row r="23" spans="1:18" ht="21.9" customHeight="1" x14ac:dyDescent="0.3">
      <c r="A23" s="33">
        <v>19</v>
      </c>
      <c r="B23" s="33"/>
      <c r="C23" s="34"/>
      <c r="D23" s="35"/>
      <c r="E23" s="36"/>
      <c r="F23" s="33"/>
      <c r="G23" s="38"/>
      <c r="H23" s="34"/>
      <c r="I23" s="39"/>
      <c r="J23" s="40"/>
      <c r="K23" s="45"/>
      <c r="L23" s="39"/>
      <c r="M23" s="42"/>
      <c r="N23" s="39"/>
      <c r="O23" s="43"/>
      <c r="P23" s="39"/>
      <c r="Q23" s="38"/>
      <c r="R23" s="38"/>
    </row>
    <row r="24" spans="1:18" ht="21.9" customHeight="1" x14ac:dyDescent="0.3">
      <c r="A24" s="33">
        <v>20</v>
      </c>
      <c r="B24" s="33"/>
      <c r="C24" s="34"/>
      <c r="D24" s="35"/>
      <c r="E24" s="36"/>
      <c r="F24" s="33"/>
      <c r="G24" s="38"/>
      <c r="H24" s="34"/>
      <c r="I24" s="39"/>
      <c r="J24" s="40"/>
      <c r="K24" s="45"/>
      <c r="L24" s="39"/>
      <c r="M24" s="42"/>
      <c r="N24" s="39"/>
      <c r="O24" s="43"/>
      <c r="P24" s="39"/>
      <c r="Q24" s="38"/>
      <c r="R24" s="38"/>
    </row>
    <row r="25" spans="1:18" ht="21.9" customHeight="1" x14ac:dyDescent="0.3">
      <c r="A25" s="33">
        <v>21</v>
      </c>
      <c r="B25" s="33"/>
      <c r="C25" s="34"/>
      <c r="D25" s="35"/>
      <c r="E25" s="36"/>
      <c r="F25" s="33"/>
      <c r="G25" s="38"/>
      <c r="H25" s="34"/>
      <c r="I25" s="39"/>
      <c r="J25" s="34"/>
      <c r="K25" s="45"/>
      <c r="L25" s="39"/>
      <c r="M25" s="42"/>
      <c r="N25" s="39"/>
      <c r="O25" s="43"/>
      <c r="P25" s="39"/>
      <c r="Q25" s="38"/>
      <c r="R25" s="38"/>
    </row>
    <row r="26" spans="1:18" ht="21.9" customHeight="1" x14ac:dyDescent="0.3">
      <c r="A26" s="33">
        <v>22</v>
      </c>
      <c r="B26" s="33"/>
      <c r="C26" s="34"/>
      <c r="D26" s="35"/>
      <c r="E26" s="36"/>
      <c r="F26" s="33"/>
      <c r="G26" s="38"/>
      <c r="H26" s="34"/>
      <c r="I26" s="39"/>
      <c r="J26" s="34"/>
      <c r="K26" s="45"/>
      <c r="L26" s="39"/>
      <c r="M26" s="42"/>
      <c r="N26" s="39"/>
      <c r="O26" s="43"/>
      <c r="P26" s="39"/>
      <c r="Q26" s="38"/>
      <c r="R26" s="38"/>
    </row>
    <row r="27" spans="1:18" ht="21.9" customHeight="1" x14ac:dyDescent="0.3">
      <c r="A27" s="33">
        <v>23</v>
      </c>
      <c r="B27" s="33"/>
      <c r="C27" s="34"/>
      <c r="D27" s="35"/>
      <c r="E27" s="36"/>
      <c r="F27" s="33"/>
      <c r="G27" s="38"/>
      <c r="H27" s="34"/>
      <c r="I27" s="39"/>
      <c r="J27" s="34"/>
      <c r="K27" s="45"/>
      <c r="L27" s="39"/>
      <c r="M27" s="42"/>
      <c r="N27" s="39"/>
      <c r="O27" s="43"/>
      <c r="P27" s="39"/>
      <c r="Q27" s="38"/>
      <c r="R27" s="38"/>
    </row>
    <row r="28" spans="1:18" ht="21.9" customHeight="1" x14ac:dyDescent="0.3">
      <c r="A28" s="33">
        <v>24</v>
      </c>
      <c r="B28" s="33"/>
      <c r="C28" s="34"/>
      <c r="D28" s="35"/>
      <c r="E28" s="36"/>
      <c r="F28" s="33"/>
      <c r="G28" s="38"/>
      <c r="H28" s="34"/>
      <c r="I28" s="39"/>
      <c r="J28" s="34"/>
      <c r="K28" s="45"/>
      <c r="L28" s="39"/>
      <c r="M28" s="42"/>
      <c r="N28" s="39"/>
      <c r="O28" s="43"/>
      <c r="P28" s="39"/>
      <c r="Q28" s="38"/>
      <c r="R28" s="38"/>
    </row>
    <row r="29" spans="1:18" ht="21.9" customHeight="1" x14ac:dyDescent="0.3">
      <c r="A29" s="33">
        <v>25</v>
      </c>
      <c r="B29" s="33"/>
      <c r="C29" s="34"/>
      <c r="D29" s="35"/>
      <c r="E29" s="36"/>
      <c r="F29" s="33"/>
      <c r="G29" s="38"/>
      <c r="H29" s="34"/>
      <c r="I29" s="39"/>
      <c r="J29" s="34"/>
      <c r="K29" s="45"/>
      <c r="L29" s="39"/>
      <c r="M29" s="42"/>
      <c r="N29" s="39"/>
      <c r="O29" s="43"/>
      <c r="P29" s="39"/>
      <c r="Q29" s="38"/>
      <c r="R29" s="38"/>
    </row>
    <row r="30" spans="1:18" ht="21.9" customHeight="1" x14ac:dyDescent="0.3">
      <c r="A30" s="33">
        <v>26</v>
      </c>
      <c r="B30" s="33"/>
      <c r="C30" s="34"/>
      <c r="D30" s="35"/>
      <c r="E30" s="36"/>
      <c r="F30" s="33"/>
      <c r="G30" s="38"/>
      <c r="H30" s="34"/>
      <c r="I30" s="39"/>
      <c r="J30" s="34"/>
      <c r="K30" s="45"/>
      <c r="L30" s="39"/>
      <c r="M30" s="42"/>
      <c r="N30" s="39"/>
      <c r="O30" s="43"/>
      <c r="P30" s="39"/>
      <c r="Q30" s="38"/>
      <c r="R30" s="38"/>
    </row>
    <row r="31" spans="1:18" ht="21.9" customHeight="1" x14ac:dyDescent="0.3">
      <c r="A31" s="33">
        <v>27</v>
      </c>
      <c r="B31" s="33"/>
      <c r="C31" s="34"/>
      <c r="D31" s="35"/>
      <c r="E31" s="36"/>
      <c r="F31" s="33"/>
      <c r="G31" s="38"/>
      <c r="H31" s="34"/>
      <c r="I31" s="39"/>
      <c r="J31" s="34"/>
      <c r="K31" s="45"/>
      <c r="L31" s="39"/>
      <c r="M31" s="42"/>
      <c r="N31" s="39"/>
      <c r="O31" s="43"/>
      <c r="P31" s="39"/>
      <c r="Q31" s="38"/>
      <c r="R31" s="38"/>
    </row>
    <row r="32" spans="1:18" ht="21.9" customHeight="1" x14ac:dyDescent="0.3">
      <c r="A32" s="33">
        <v>28</v>
      </c>
      <c r="B32" s="33"/>
      <c r="C32" s="34"/>
      <c r="D32" s="35"/>
      <c r="E32" s="36"/>
      <c r="F32" s="33"/>
      <c r="G32" s="38"/>
      <c r="H32" s="34"/>
      <c r="I32" s="39"/>
      <c r="J32" s="34"/>
      <c r="K32" s="45"/>
      <c r="L32" s="39"/>
      <c r="M32" s="42"/>
      <c r="N32" s="39"/>
      <c r="O32" s="43"/>
      <c r="P32" s="39"/>
      <c r="Q32" s="38"/>
      <c r="R32" s="38"/>
    </row>
    <row r="33" spans="1:18" ht="21.9" customHeight="1" x14ac:dyDescent="0.3">
      <c r="A33" s="33">
        <v>29</v>
      </c>
      <c r="B33" s="33"/>
      <c r="C33" s="34"/>
      <c r="D33" s="35"/>
      <c r="E33" s="36"/>
      <c r="F33" s="33"/>
      <c r="G33" s="38"/>
      <c r="H33" s="34"/>
      <c r="I33" s="39"/>
      <c r="J33" s="34"/>
      <c r="K33" s="45"/>
      <c r="L33" s="39"/>
      <c r="M33" s="42"/>
      <c r="N33" s="39"/>
      <c r="O33" s="43"/>
      <c r="P33" s="39"/>
      <c r="Q33" s="38"/>
      <c r="R33" s="38"/>
    </row>
    <row r="34" spans="1:18" ht="21.9" customHeight="1" x14ac:dyDescent="0.3">
      <c r="A34" s="33">
        <v>30</v>
      </c>
      <c r="B34" s="33"/>
      <c r="C34" s="34"/>
      <c r="D34" s="35"/>
      <c r="E34" s="36"/>
      <c r="F34" s="33"/>
      <c r="G34" s="38"/>
      <c r="H34" s="34"/>
      <c r="I34" s="39"/>
      <c r="J34" s="34"/>
      <c r="K34" s="45"/>
      <c r="L34" s="39"/>
      <c r="M34" s="42"/>
      <c r="N34" s="39"/>
      <c r="O34" s="43"/>
      <c r="P34" s="39"/>
      <c r="Q34" s="38"/>
      <c r="R34" s="38"/>
    </row>
    <row r="35" spans="1:18" ht="27.75" customHeight="1" x14ac:dyDescent="0.3">
      <c r="A35" s="61" t="s">
        <v>24</v>
      </c>
      <c r="B35" s="62"/>
      <c r="C35" s="62"/>
      <c r="D35" s="62"/>
      <c r="E35" s="63"/>
      <c r="F35" s="47"/>
      <c r="G35" s="48">
        <f>SUM(G5:G34)</f>
        <v>0</v>
      </c>
      <c r="H35" s="64">
        <f>SUM(I5:I34)</f>
        <v>0</v>
      </c>
      <c r="I35" s="65"/>
      <c r="J35" s="64">
        <f>SUM(L5:L34)</f>
        <v>0</v>
      </c>
      <c r="K35" s="66"/>
      <c r="L35" s="65"/>
      <c r="M35" s="48">
        <f t="shared" ref="M35:R35" si="0">SUM(M5:M34)</f>
        <v>0</v>
      </c>
      <c r="N35" s="48"/>
      <c r="O35" s="64">
        <f>SUM(P5:P34)</f>
        <v>0</v>
      </c>
      <c r="P35" s="65"/>
      <c r="Q35" s="48"/>
      <c r="R35" s="48"/>
    </row>
  </sheetData>
  <mergeCells count="16">
    <mergeCell ref="A35:E35"/>
    <mergeCell ref="H35:I35"/>
    <mergeCell ref="J35:L35"/>
    <mergeCell ref="O35:P35"/>
    <mergeCell ref="A2:E2"/>
    <mergeCell ref="F2:J2"/>
    <mergeCell ref="N2:O2"/>
    <mergeCell ref="A3:A4"/>
    <mergeCell ref="B3:B4"/>
    <mergeCell ref="C3:D3"/>
    <mergeCell ref="E3:E4"/>
    <mergeCell ref="F3:F4"/>
    <mergeCell ref="H3:I3"/>
    <mergeCell ref="J3:L3"/>
    <mergeCell ref="M3:N3"/>
    <mergeCell ref="O3:P3"/>
  </mergeCells>
  <pageMargins left="0" right="0" top="0.19685039370078741" bottom="0.19685039370078741" header="0.19685039370078741" footer="0.19685039370078741"/>
  <pageSetup paperSize="9" scale="72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ON</vt:lpstr>
      <vt:lpstr>ARKA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veli kara</cp:lastModifiedBy>
  <dcterms:created xsi:type="dcterms:W3CDTF">2026-09-14T14:13:35Z</dcterms:created>
  <dcterms:modified xsi:type="dcterms:W3CDTF">2026-09-16T16:43:23Z</dcterms:modified>
</cp:coreProperties>
</file>